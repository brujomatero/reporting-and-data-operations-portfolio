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Portofolio\Hospital Rotation Assignment, Management, and Control\"/>
    </mc:Choice>
  </mc:AlternateContent>
  <xr:revisionPtr revIDLastSave="0" documentId="13_ncr:1_{21F19550-0C00-47EF-B131-6744C8B2C412}" xr6:coauthVersionLast="47" xr6:coauthVersionMax="47" xr10:uidLastSave="{00000000-0000-0000-0000-000000000000}"/>
  <bookViews>
    <workbookView xWindow="-108" yWindow="-108" windowWidth="23256" windowHeight="12456" xr2:uid="{89236E18-460B-49BA-8F1A-390A0A043C7F}"/>
  </bookViews>
  <sheets>
    <sheet name="Datos" sheetId="1" r:id="rId1"/>
    <sheet name="Tabla asignaciones" sheetId="2" r:id="rId2"/>
    <sheet name="Cronograma" sheetId="3" r:id="rId3"/>
  </sheets>
  <definedNames>
    <definedName name="LSem">Semanas[Semana]</definedName>
    <definedName name="LServ">Servicios[Servicio]</definedName>
    <definedName name="N°_Asp">Aspirantes[N°]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  <c r="B4" i="3" a="1"/>
  <c r="A4" i="3" a="1"/>
  <c r="C3" i="3" a="1"/>
  <c r="C1" i="3" a="1"/>
  <c r="C2" i="3" s="1"/>
  <c r="F2" i="3"/>
  <c r="J2" i="3"/>
  <c r="N2" i="3"/>
  <c r="G2" i="3"/>
  <c r="K2" i="3"/>
  <c r="O2" i="3"/>
  <c r="D2" i="3"/>
  <c r="H2" i="3"/>
  <c r="L2" i="3"/>
  <c r="C46" i="3" a="1"/>
  <c r="C18" i="3" a="1"/>
  <c r="D14" i="3" a="1"/>
  <c r="D46" i="3" a="1"/>
  <c r="E20" i="3" a="1"/>
  <c r="F5" i="3" a="1"/>
  <c r="G11" i="3" a="1"/>
  <c r="I6" i="3" a="1"/>
  <c r="K9" i="3" a="1"/>
  <c r="N46" i="3" a="1"/>
  <c r="M2" i="3"/>
  <c r="I2" i="3"/>
  <c r="E2" i="3"/>
  <c r="C42" i="3" a="1"/>
  <c r="C8" i="3" a="1"/>
  <c r="D20" i="3" a="1"/>
  <c r="E5" i="3" a="1"/>
  <c r="E35" i="3" a="1"/>
  <c r="F9" i="3" a="1"/>
  <c r="G22" i="3" a="1"/>
  <c r="I11" i="3" a="1"/>
  <c r="L5" i="3" a="1"/>
  <c r="C31" i="3" a="1"/>
  <c r="D5" i="3" a="1"/>
  <c r="D35" i="3" a="1"/>
  <c r="E9" i="3" a="1"/>
  <c r="E41" i="3" a="1"/>
  <c r="F36" i="3" a="1"/>
  <c r="G46" i="3" a="1"/>
  <c r="J15" i="3" a="1"/>
  <c r="L46" i="3" a="1"/>
  <c r="C41" i="3" a="1"/>
  <c r="C23" i="3" a="1"/>
  <c r="D9" i="3" a="1"/>
  <c r="D42" i="3" a="1"/>
  <c r="E14" i="3" a="1"/>
  <c r="E46" i="3" a="1"/>
  <c r="G7" i="3" a="1"/>
  <c r="H15" i="3" a="1"/>
  <c r="J42" i="3" a="1"/>
  <c r="M46" i="3" a="1"/>
  <c r="H23" i="3" a="1"/>
  <c r="C19" i="3" a="1"/>
  <c r="D44" i="3" a="1"/>
  <c r="F44" i="3" a="1"/>
  <c r="K36" i="3" a="1"/>
  <c r="J36" i="3" a="1"/>
  <c r="E36" i="3" a="1"/>
  <c r="D36" i="3" a="1"/>
  <c r="I28" i="3" a="1"/>
  <c r="F28" i="3" a="1"/>
  <c r="C28" i="3" a="1"/>
  <c r="J20" i="3" a="1"/>
  <c r="L20" i="3" a="1"/>
  <c r="I20" i="3" a="1"/>
  <c r="C20" i="3" a="1"/>
  <c r="M12" i="3" a="1"/>
  <c r="O12" i="3" a="1"/>
  <c r="N12" i="3" a="1"/>
  <c r="J12" i="3" a="1"/>
  <c r="H12" i="3" a="1"/>
  <c r="E12" i="3" a="1"/>
  <c r="D12" i="3" a="1"/>
  <c r="L12" i="3" a="1"/>
  <c r="K12" i="3" a="1"/>
  <c r="F12" i="3" a="1"/>
  <c r="I12" i="3" a="1"/>
  <c r="G12" i="3" a="1"/>
  <c r="M8" i="3" a="1"/>
  <c r="K8" i="3" a="1"/>
  <c r="F8" i="3" a="1"/>
  <c r="E8" i="3" a="1"/>
  <c r="D8" i="3" a="1"/>
  <c r="G8" i="3" a="1"/>
  <c r="L8" i="3" a="1"/>
  <c r="I8" i="3" a="1"/>
  <c r="O8" i="3" a="1"/>
  <c r="N8" i="3" a="1"/>
  <c r="D28" i="3" a="1"/>
  <c r="E28" i="3" a="1"/>
  <c r="H8" i="3" a="1"/>
  <c r="L36" i="3" a="1"/>
  <c r="C43" i="3" a="1"/>
  <c r="D43" i="3" a="1"/>
  <c r="H43" i="3" a="1"/>
  <c r="E43" i="3" a="1"/>
  <c r="E39" i="3" a="1"/>
  <c r="D39" i="3" a="1"/>
  <c r="C39" i="3" a="1"/>
  <c r="H39" i="3" a="1"/>
  <c r="C35" i="3" a="1"/>
  <c r="N35" i="3" a="1"/>
  <c r="M35" i="3" a="1"/>
  <c r="O35" i="3" a="1"/>
  <c r="H31" i="3" a="1"/>
  <c r="D31" i="3" a="1"/>
  <c r="K31" i="3" a="1"/>
  <c r="J31" i="3" a="1"/>
  <c r="E31" i="3" a="1"/>
  <c r="E27" i="3" a="1"/>
  <c r="D27" i="3" a="1"/>
  <c r="H27" i="3" a="1"/>
  <c r="C27" i="3" a="1"/>
  <c r="K15" i="3" a="1"/>
  <c r="D15" i="3" a="1"/>
  <c r="C15" i="3" a="1"/>
  <c r="E15" i="3" a="1"/>
  <c r="L11" i="3" a="1"/>
  <c r="K11" i="3" a="1"/>
  <c r="C11" i="3" a="1"/>
  <c r="N11" i="3" a="1"/>
  <c r="M11" i="3" a="1"/>
  <c r="J11" i="3" a="1"/>
  <c r="H11" i="3" a="1"/>
  <c r="E11" i="3" a="1"/>
  <c r="D11" i="3" a="1"/>
  <c r="F11" i="3" a="1"/>
  <c r="L7" i="3" a="1"/>
  <c r="J7" i="3" a="1"/>
  <c r="H7" i="3" a="1"/>
  <c r="I7" i="3" a="1"/>
  <c r="O7" i="3" a="1"/>
  <c r="N7" i="3" a="1"/>
  <c r="K7" i="3" a="1"/>
  <c r="F7" i="3" a="1"/>
  <c r="E7" i="3" a="1"/>
  <c r="D7" i="3" a="1"/>
  <c r="C7" i="3" a="1"/>
  <c r="M7" i="3" a="1"/>
  <c r="I36" i="3" a="1"/>
  <c r="G42" i="3" a="1"/>
  <c r="E42" i="3" a="1"/>
  <c r="C38" i="3" a="1"/>
  <c r="G38" i="3" a="1"/>
  <c r="E38" i="3" a="1"/>
  <c r="D38" i="3" a="1"/>
  <c r="E34" i="3" a="1"/>
  <c r="D34" i="3" a="1"/>
  <c r="C34" i="3" a="1"/>
  <c r="G34" i="3" a="1"/>
  <c r="E22" i="3" a="1"/>
  <c r="C22" i="3" a="1"/>
  <c r="D22" i="3" a="1"/>
  <c r="G18" i="3" a="1"/>
  <c r="E18" i="3" a="1"/>
  <c r="D18" i="3" a="1"/>
  <c r="M14" i="3" a="1"/>
  <c r="C14" i="3" a="1"/>
  <c r="G14" i="3" a="1"/>
  <c r="L14" i="3" a="1"/>
  <c r="N14" i="3" a="1"/>
  <c r="G10" i="3" a="1"/>
  <c r="E10" i="3" a="1"/>
  <c r="C10" i="3" a="1"/>
  <c r="J10" i="3" a="1"/>
  <c r="D10" i="3" a="1"/>
  <c r="N6" i="3" a="1"/>
  <c r="M6" i="3" a="1"/>
  <c r="G6" i="3" a="1"/>
  <c r="L6" i="3" a="1"/>
  <c r="F6" i="3" a="1"/>
  <c r="D6" i="3" a="1"/>
  <c r="J6" i="3" a="1"/>
  <c r="H6" i="3" a="1"/>
  <c r="C6" i="3" a="1"/>
  <c r="E6" i="3" a="1"/>
  <c r="C36" i="3" a="1"/>
  <c r="C12" i="3" a="1"/>
  <c r="F20" i="3" a="1"/>
  <c r="H35" i="3" a="1"/>
  <c r="J8" i="3" a="1"/>
  <c r="K20" i="3" a="1"/>
  <c r="F33" i="3" a="1"/>
  <c r="C33" i="3" a="1"/>
  <c r="E33" i="3" a="1"/>
  <c r="D33" i="3" a="1"/>
  <c r="L25" i="3" a="1"/>
  <c r="C25" i="3" a="1"/>
  <c r="F25" i="3" a="1"/>
  <c r="M25" i="3" a="1"/>
  <c r="E25" i="3" a="1"/>
  <c r="D25" i="3" a="1"/>
  <c r="K25" i="3" a="1"/>
  <c r="F17" i="3" a="1"/>
  <c r="E17" i="3" a="1"/>
  <c r="D17" i="3" a="1"/>
  <c r="C17" i="3" a="1"/>
  <c r="L9" i="3" a="1"/>
  <c r="I9" i="3" a="1"/>
  <c r="C9" i="3" a="1"/>
  <c r="M9" i="3" a="1"/>
  <c r="O9" i="3" a="1"/>
  <c r="G9" i="3" a="1"/>
  <c r="H9" i="3" a="1"/>
  <c r="N5" i="3" a="1"/>
  <c r="O5" i="3" a="1"/>
  <c r="I5" i="3" a="1"/>
  <c r="C5" i="3" a="1"/>
  <c r="J5" i="3" a="1"/>
  <c r="H5" i="3" a="1"/>
  <c r="M5" i="3" a="1"/>
  <c r="G5" i="3" a="1"/>
  <c r="K5" i="3" a="1"/>
  <c r="M16" i="3" a="1"/>
  <c r="O16" i="3" a="1"/>
  <c r="N16" i="3" a="1"/>
  <c r="G16" i="3" a="1"/>
  <c r="L16" i="3" a="1"/>
  <c r="K16" i="3" a="1"/>
  <c r="J16" i="3" a="1"/>
  <c r="H16" i="3" a="1"/>
  <c r="E16" i="3" a="1"/>
  <c r="C16" i="3" a="1"/>
  <c r="D16" i="3" a="1"/>
  <c r="I16" i="3" a="1"/>
  <c r="F16" i="3" a="1"/>
  <c r="M40" i="3" a="1"/>
  <c r="L40" i="3" a="1"/>
  <c r="K40" i="3" a="1"/>
  <c r="J40" i="3" a="1"/>
  <c r="G40" i="3" a="1"/>
  <c r="H40" i="3" a="1"/>
  <c r="O40" i="3" a="1"/>
  <c r="N40" i="3" a="1"/>
  <c r="E40" i="3" a="1"/>
  <c r="C40" i="3" a="1"/>
  <c r="D40" i="3" a="1"/>
  <c r="F40" i="3" a="1"/>
  <c r="I40" i="3" a="1"/>
  <c r="N29" i="3" a="1"/>
  <c r="J29" i="3" a="1"/>
  <c r="M29" i="3" a="1"/>
  <c r="L29" i="3" a="1"/>
  <c r="K29" i="3" a="1"/>
  <c r="G29" i="3" a="1"/>
  <c r="H29" i="3" a="1"/>
  <c r="I29" i="3" a="1"/>
  <c r="C29" i="3" a="1"/>
  <c r="E29" i="3" a="1"/>
  <c r="O29" i="3" a="1"/>
  <c r="F29" i="3" a="1"/>
  <c r="D29" i="3" a="1"/>
  <c r="N37" i="3" a="1"/>
  <c r="J37" i="3" a="1"/>
  <c r="G37" i="3" a="1"/>
  <c r="O37" i="3" a="1"/>
  <c r="H37" i="3" a="1"/>
  <c r="M37" i="3" a="1"/>
  <c r="L37" i="3" a="1"/>
  <c r="K37" i="3" a="1"/>
  <c r="I37" i="3" a="1"/>
  <c r="C37" i="3" a="1"/>
  <c r="E37" i="3" a="1"/>
  <c r="F37" i="3" a="1"/>
  <c r="D37" i="3" a="1"/>
  <c r="M32" i="3" a="1"/>
  <c r="O32" i="3" a="1"/>
  <c r="N32" i="3" a="1"/>
  <c r="G32" i="3" a="1"/>
  <c r="L32" i="3" a="1"/>
  <c r="K32" i="3" a="1"/>
  <c r="J32" i="3" a="1"/>
  <c r="H32" i="3" a="1"/>
  <c r="E32" i="3" a="1"/>
  <c r="C32" i="3" a="1"/>
  <c r="I32" i="3" a="1"/>
  <c r="F32" i="3" a="1"/>
  <c r="D32" i="3" a="1"/>
  <c r="N21" i="3" a="1"/>
  <c r="J21" i="3" a="1"/>
  <c r="G21" i="3" a="1"/>
  <c r="O21" i="3" a="1"/>
  <c r="H21" i="3" a="1"/>
  <c r="M21" i="3" a="1"/>
  <c r="L21" i="3" a="1"/>
  <c r="K21" i="3" a="1"/>
  <c r="I21" i="3" a="1"/>
  <c r="C21" i="3" a="1"/>
  <c r="F21" i="3" a="1"/>
  <c r="D21" i="3" a="1"/>
  <c r="E21" i="3" a="1"/>
  <c r="M4" i="3" a="1"/>
  <c r="J4" i="3" a="1"/>
  <c r="G4" i="3" a="1"/>
  <c r="O4" i="3" a="1"/>
  <c r="N4" i="3" a="1"/>
  <c r="H4" i="3" a="1"/>
  <c r="K4" i="3" a="1"/>
  <c r="E4" i="3" a="1"/>
  <c r="L4" i="3" a="1"/>
  <c r="I4" i="3" a="1"/>
  <c r="D4" i="3" a="1"/>
  <c r="C4" i="3" a="1"/>
  <c r="F4" i="3" a="1"/>
  <c r="N45" i="3" a="1"/>
  <c r="J45" i="3" a="1"/>
  <c r="M45" i="3" a="1"/>
  <c r="L45" i="3" a="1"/>
  <c r="K45" i="3" a="1"/>
  <c r="G45" i="3" a="1"/>
  <c r="H45" i="3" a="1"/>
  <c r="I45" i="3" a="1"/>
  <c r="E45" i="3" a="1"/>
  <c r="C45" i="3" a="1"/>
  <c r="F45" i="3" a="1"/>
  <c r="D45" i="3" a="1"/>
  <c r="O45" i="3" a="1"/>
  <c r="M24" i="3" a="1"/>
  <c r="L24" i="3" a="1"/>
  <c r="K24" i="3" a="1"/>
  <c r="J24" i="3" a="1"/>
  <c r="G24" i="3" a="1"/>
  <c r="H24" i="3" a="1"/>
  <c r="E24" i="3" a="1"/>
  <c r="C24" i="3" a="1"/>
  <c r="D24" i="3" a="1"/>
  <c r="F24" i="3" a="1"/>
  <c r="O24" i="3" a="1"/>
  <c r="N24" i="3" a="1"/>
  <c r="I24" i="3" a="1"/>
  <c r="N13" i="3" a="1"/>
  <c r="J13" i="3" a="1"/>
  <c r="M13" i="3" a="1"/>
  <c r="L13" i="3" a="1"/>
  <c r="K13" i="3" a="1"/>
  <c r="G13" i="3" a="1"/>
  <c r="H13" i="3" a="1"/>
  <c r="I13" i="3" a="1"/>
  <c r="C13" i="3" a="1"/>
  <c r="E13" i="3" a="1"/>
  <c r="O13" i="3" a="1"/>
  <c r="F13" i="3" a="1"/>
  <c r="D13" i="3" a="1"/>
  <c r="M44" i="3" a="1"/>
  <c r="O44" i="3" a="1"/>
  <c r="N44" i="3" a="1"/>
  <c r="L44" i="3" a="1"/>
  <c r="K44" i="3" a="1"/>
  <c r="J44" i="3" a="1"/>
  <c r="G44" i="3" a="1"/>
  <c r="H44" i="3" a="1"/>
  <c r="N41" i="3" a="1"/>
  <c r="J41" i="3" a="1"/>
  <c r="G41" i="3" a="1"/>
  <c r="H41" i="3" a="1"/>
  <c r="O41" i="3" a="1"/>
  <c r="I41" i="3" a="1"/>
  <c r="O30" i="3" a="1"/>
  <c r="K30" i="3" a="1"/>
  <c r="J30" i="3" a="1"/>
  <c r="H30" i="3" a="1"/>
  <c r="I30" i="3" a="1"/>
  <c r="F30" i="3" a="1"/>
  <c r="O26" i="3" a="1"/>
  <c r="K26" i="3" a="1"/>
  <c r="H26" i="3" a="1"/>
  <c r="I26" i="3" a="1"/>
  <c r="N26" i="3" a="1"/>
  <c r="M26" i="3" a="1"/>
  <c r="L26" i="3" a="1"/>
  <c r="F26" i="3" a="1"/>
  <c r="L23" i="3" a="1"/>
  <c r="O23" i="3" a="1"/>
  <c r="N23" i="3" a="1"/>
  <c r="M23" i="3" a="1"/>
  <c r="I23" i="3" a="1"/>
  <c r="K23" i="3" a="1"/>
  <c r="J23" i="3" a="1"/>
  <c r="F23" i="3" a="1"/>
  <c r="G23" i="3" a="1"/>
  <c r="L19" i="3" a="1"/>
  <c r="K19" i="3" a="1"/>
  <c r="J19" i="3" a="1"/>
  <c r="I19" i="3" a="1"/>
  <c r="F19" i="3" a="1"/>
  <c r="G19" i="3" a="1"/>
  <c r="C30" i="3" a="1"/>
  <c r="C26" i="3" a="1"/>
  <c r="D41" i="3" a="1"/>
  <c r="E26" i="3" a="1"/>
  <c r="E30" i="3" a="1"/>
  <c r="G26" i="3" a="1"/>
  <c r="I44" i="3" a="1"/>
  <c r="L30" i="3" a="1"/>
  <c r="M30" i="3" a="1"/>
  <c r="N30" i="3" a="1"/>
  <c r="L43" i="3" a="1"/>
  <c r="I43" i="3" a="1"/>
  <c r="O43" i="3" a="1"/>
  <c r="N43" i="3" a="1"/>
  <c r="M43" i="3" a="1"/>
  <c r="F43" i="3" a="1"/>
  <c r="K43" i="3" a="1"/>
  <c r="J43" i="3" a="1"/>
  <c r="G43" i="3" a="1"/>
  <c r="M36" i="3" a="1"/>
  <c r="G36" i="3" a="1"/>
  <c r="O36" i="3" a="1"/>
  <c r="N36" i="3" a="1"/>
  <c r="H36" i="3" a="1"/>
  <c r="N33" i="3" a="1"/>
  <c r="J33" i="3" a="1"/>
  <c r="O33" i="3" a="1"/>
  <c r="G33" i="3" a="1"/>
  <c r="M33" i="3" a="1"/>
  <c r="L33" i="3" a="1"/>
  <c r="K33" i="3" a="1"/>
  <c r="H33" i="3" a="1"/>
  <c r="I33" i="3" a="1"/>
  <c r="O22" i="3" a="1"/>
  <c r="K22" i="3" a="1"/>
  <c r="H22" i="3" a="1"/>
  <c r="N22" i="3" a="1"/>
  <c r="M22" i="3" a="1"/>
  <c r="L22" i="3" a="1"/>
  <c r="I22" i="3" a="1"/>
  <c r="J22" i="3" a="1"/>
  <c r="F22" i="3" a="1"/>
  <c r="O18" i="3" a="1"/>
  <c r="K18" i="3" a="1"/>
  <c r="N18" i="3" a="1"/>
  <c r="M18" i="3" a="1"/>
  <c r="L18" i="3" a="1"/>
  <c r="H18" i="3" a="1"/>
  <c r="J18" i="3" a="1"/>
  <c r="I18" i="3" a="1"/>
  <c r="F18" i="3" a="1"/>
  <c r="L15" i="3" a="1"/>
  <c r="I15" i="3" a="1"/>
  <c r="F15" i="3" a="1"/>
  <c r="O15" i="3" a="1"/>
  <c r="N15" i="3" a="1"/>
  <c r="M15" i="3" a="1"/>
  <c r="G15" i="3" a="1"/>
  <c r="D26" i="3" a="1"/>
  <c r="D30" i="3" a="1"/>
  <c r="E19" i="3" a="1"/>
  <c r="E23" i="3" a="1"/>
  <c r="G30" i="3" a="1"/>
  <c r="O46" i="3" a="1"/>
  <c r="K46" i="3" a="1"/>
  <c r="J46" i="3" a="1"/>
  <c r="H46" i="3" a="1"/>
  <c r="I46" i="3" a="1"/>
  <c r="F46" i="3" a="1"/>
  <c r="O42" i="3" a="1"/>
  <c r="K42" i="3" a="1"/>
  <c r="H42" i="3" a="1"/>
  <c r="I42" i="3" a="1"/>
  <c r="N42" i="3" a="1"/>
  <c r="M42" i="3" a="1"/>
  <c r="L42" i="3" a="1"/>
  <c r="F42" i="3" a="1"/>
  <c r="L39" i="3" a="1"/>
  <c r="O39" i="3" a="1"/>
  <c r="N39" i="3" a="1"/>
  <c r="M39" i="3" a="1"/>
  <c r="I39" i="3" a="1"/>
  <c r="K39" i="3" a="1"/>
  <c r="J39" i="3" a="1"/>
  <c r="F39" i="3" a="1"/>
  <c r="G39" i="3" a="1"/>
  <c r="L35" i="3" a="1"/>
  <c r="K35" i="3" a="1"/>
  <c r="J35" i="3" a="1"/>
  <c r="I35" i="3" a="1"/>
  <c r="F35" i="3" a="1"/>
  <c r="G35" i="3" a="1"/>
  <c r="M28" i="3" a="1"/>
  <c r="O28" i="3" a="1"/>
  <c r="N28" i="3" a="1"/>
  <c r="L28" i="3" a="1"/>
  <c r="K28" i="3" a="1"/>
  <c r="J28" i="3" a="1"/>
  <c r="G28" i="3" a="1"/>
  <c r="H28" i="3" a="1"/>
  <c r="N25" i="3" a="1"/>
  <c r="J25" i="3" a="1"/>
  <c r="G25" i="3" a="1"/>
  <c r="H25" i="3" a="1"/>
  <c r="O25" i="3" a="1"/>
  <c r="I25" i="3" a="1"/>
  <c r="O14" i="3" a="1"/>
  <c r="K14" i="3" a="1"/>
  <c r="J14" i="3" a="1"/>
  <c r="H14" i="3" a="1"/>
  <c r="I14" i="3" a="1"/>
  <c r="F14" i="3" a="1"/>
  <c r="C44" i="3" a="1"/>
  <c r="D19" i="3" a="1"/>
  <c r="D23" i="3" a="1"/>
  <c r="E44" i="3" a="1"/>
  <c r="F41" i="3" a="1"/>
  <c r="H19" i="3" a="1"/>
  <c r="J26" i="3" a="1"/>
  <c r="K41" i="3" a="1"/>
  <c r="L41" i="3" a="1"/>
  <c r="M19" i="3" a="1"/>
  <c r="M41" i="3" a="1"/>
  <c r="N19" i="3" a="1"/>
  <c r="O19" i="3" a="1"/>
  <c r="O38" i="3" a="1"/>
  <c r="K38" i="3" a="1"/>
  <c r="H38" i="3" a="1"/>
  <c r="N38" i="3" a="1"/>
  <c r="M38" i="3" a="1"/>
  <c r="L38" i="3" a="1"/>
  <c r="I38" i="3" a="1"/>
  <c r="J38" i="3" a="1"/>
  <c r="F38" i="3" a="1"/>
  <c r="O34" i="3" a="1"/>
  <c r="K34" i="3" a="1"/>
  <c r="N34" i="3" a="1"/>
  <c r="M34" i="3" a="1"/>
  <c r="L34" i="3" a="1"/>
  <c r="H34" i="3" a="1"/>
  <c r="J34" i="3" a="1"/>
  <c r="I34" i="3" a="1"/>
  <c r="F34" i="3" a="1"/>
  <c r="L31" i="3" a="1"/>
  <c r="I31" i="3" a="1"/>
  <c r="F31" i="3" a="1"/>
  <c r="O31" i="3" a="1"/>
  <c r="N31" i="3" a="1"/>
  <c r="M31" i="3" a="1"/>
  <c r="G31" i="3" a="1"/>
  <c r="L27" i="3" a="1"/>
  <c r="I27" i="3" a="1"/>
  <c r="O27" i="3" a="1"/>
  <c r="N27" i="3" a="1"/>
  <c r="M27" i="3" a="1"/>
  <c r="F27" i="3" a="1"/>
  <c r="K27" i="3" a="1"/>
  <c r="J27" i="3" a="1"/>
  <c r="G27" i="3" a="1"/>
  <c r="M20" i="3" a="1"/>
  <c r="G20" i="3" a="1"/>
  <c r="O20" i="3" a="1"/>
  <c r="N20" i="3" a="1"/>
  <c r="H20" i="3" a="1"/>
  <c r="N17" i="3" a="1"/>
  <c r="J17" i="3" a="1"/>
  <c r="O17" i="3" a="1"/>
  <c r="G17" i="3" a="1"/>
  <c r="M17" i="3" a="1"/>
  <c r="L17" i="3" a="1"/>
  <c r="K17" i="3" a="1"/>
  <c r="H17" i="3" a="1"/>
  <c r="I17" i="3" a="1"/>
  <c r="O10" i="3" a="1"/>
  <c r="K10" i="3" a="1"/>
  <c r="H10" i="3" a="1"/>
  <c r="I10" i="3" a="1"/>
  <c r="N10" i="3" a="1"/>
  <c r="M10" i="3" a="1"/>
  <c r="L10" i="3" a="1"/>
  <c r="F10" i="3" a="1"/>
  <c r="O11" i="3" a="1"/>
  <c r="N9" i="3" a="1"/>
  <c r="J9" i="3" a="1"/>
  <c r="O6" i="3" a="1"/>
  <c r="K6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<sst xmlns="http://schemas.openxmlformats.org/spreadsheetml/2006/main" count="144" uniqueCount="66">
  <si>
    <t>UCO</t>
  </si>
  <si>
    <t>UTI</t>
  </si>
  <si>
    <t>GM</t>
  </si>
  <si>
    <t>CLIN HOMBRES SECT A</t>
  </si>
  <si>
    <t>CLIN MUJERES  SECTOR B</t>
  </si>
  <si>
    <t>INTERN CIRUGIA</t>
  </si>
  <si>
    <t>MATERNIDAD</t>
  </si>
  <si>
    <t>CENTRO OBS</t>
  </si>
  <si>
    <t>N°</t>
  </si>
  <si>
    <t>Servicio</t>
  </si>
  <si>
    <t>Cupo</t>
  </si>
  <si>
    <t>aspirante</t>
  </si>
  <si>
    <t>Aula</t>
  </si>
  <si>
    <t>ENF1A</t>
  </si>
  <si>
    <t>ENF1B</t>
  </si>
  <si>
    <t>N° Asp</t>
  </si>
  <si>
    <t>Semana</t>
  </si>
  <si>
    <t>Fecha Inicio</t>
  </si>
  <si>
    <t>Etiquetas de fila</t>
  </si>
  <si>
    <t>Total general</t>
  </si>
  <si>
    <t>Etiquetas de columna</t>
  </si>
  <si>
    <t>(Todas)</t>
  </si>
  <si>
    <t>Cuenta de Servicio</t>
  </si>
  <si>
    <t>Aspirantes</t>
  </si>
  <si>
    <t>2do CUATRIMESTRE 2026</t>
  </si>
  <si>
    <t>Cronograma Hospital</t>
  </si>
  <si>
    <t>MARIA</t>
  </si>
  <si>
    <t>MAIA</t>
  </si>
  <si>
    <t>NAHIR</t>
  </si>
  <si>
    <t>MARTINA</t>
  </si>
  <si>
    <t>FABIAN</t>
  </si>
  <si>
    <t>SOLEDAD</t>
  </si>
  <si>
    <t>ELIANA</t>
  </si>
  <si>
    <t>ALBERTO</t>
  </si>
  <si>
    <t>ELIZABETH</t>
  </si>
  <si>
    <t>MERCEDES</t>
  </si>
  <si>
    <t>ROSA</t>
  </si>
  <si>
    <t>CELESTE</t>
  </si>
  <si>
    <t>AARON</t>
  </si>
  <si>
    <t>ROBALO</t>
  </si>
  <si>
    <t>NICOLAS</t>
  </si>
  <si>
    <t>MARTIN</t>
  </si>
  <si>
    <t>DAINA</t>
  </si>
  <si>
    <t>NICOL</t>
  </si>
  <si>
    <t>EZEQUIEL</t>
  </si>
  <si>
    <t>AYELEN</t>
  </si>
  <si>
    <t>LUCIA</t>
  </si>
  <si>
    <t>BELEN</t>
  </si>
  <si>
    <t>LORENA</t>
  </si>
  <si>
    <t>FRANCO</t>
  </si>
  <si>
    <t>VERONICA</t>
  </si>
  <si>
    <t>SELENA</t>
  </si>
  <si>
    <t>ROCIO</t>
  </si>
  <si>
    <t>CARLA</t>
  </si>
  <si>
    <t>RAFAEL</t>
  </si>
  <si>
    <t>VERENICE</t>
  </si>
  <si>
    <t>VICTORIA</t>
  </si>
  <si>
    <t>MARIBEL</t>
  </si>
  <si>
    <t>MARCELA</t>
  </si>
  <si>
    <t>AIMARA</t>
  </si>
  <si>
    <t>DANIELA</t>
  </si>
  <si>
    <t>MAURICIO</t>
  </si>
  <si>
    <t>ESTEFANÍA</t>
  </si>
  <si>
    <t>LAURA</t>
  </si>
  <si>
    <t>ANAHÍ</t>
  </si>
  <si>
    <t>LELIA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</si>
</sst>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18" xfId="0" applyBorder="1"/>
    <xf numFmtId="0" fontId="0" fillId="0" borderId="19" xfId="0" applyBorder="1"/>
    <xf numFmtId="1" fontId="0" fillId="0" borderId="0" xfId="1" applyNumberFormat="1" applyFont="1"/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0" xfId="0" applyNumberFormat="1"/>
  </cellXfs>
  <cellStyles count="2">
    <cellStyle name="Millares" xfId="1" builtinId="3"/>
    <cellStyle name="Normal" xfId="0" builtinId="0"/>
  </cellStyles>
  <dxfs count="17">
    <dxf>
      <font>
        <color theme="1"/>
      </font>
      <fill>
        <patternFill>
          <bgColor rgb="FFFFEB9C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323.764358217595" createdVersion="8" refreshedVersion="8" minRefreshableVersion="3" recordCount="21" xr:uid="{055F636E-D046-4FD4-B787-91B24C8E63DA}">
  <cacheSource type="worksheet">
    <worksheetSource name="Asignaciones"/>
  </cacheSource>
  <cacheFields count="3">
    <cacheField name="N° Asp" numFmtId="0">
      <sharedItems containsSemiMixedTypes="0" containsString="0" containsNumber="1" containsInteger="1" minValue="1" maxValue="43" count="18">
        <n v="1"/>
        <n v="2"/>
        <n v="3"/>
        <n v="4"/>
        <n v="20"/>
        <n v="15"/>
        <n v="16"/>
        <n v="22"/>
        <n v="23"/>
        <n v="30"/>
        <n v="31"/>
        <n v="24"/>
        <n v="12"/>
        <n v="6"/>
        <n v="34"/>
        <n v="37"/>
        <n v="40"/>
        <n v="43"/>
      </sharedItems>
    </cacheField>
    <cacheField name="Servicio" numFmtId="0">
      <sharedItems count="8">
        <s v="CLIN HOMBRES SECT A"/>
        <s v="CLIN MUJERES  SECTOR B"/>
        <s v="UTI"/>
        <s v="INTERN CIRUGIA"/>
        <s v="MATERNIDAD"/>
        <s v="CENTRO OBS"/>
        <s v="GM"/>
        <s v="UCO"/>
      </sharedItems>
    </cacheField>
    <cacheField name="Semana" numFmtId="0">
      <sharedItems containsSemiMixedTypes="0" containsString="0" containsNumber="1" containsInteger="1" minValue="1" maxValue="10" count="7">
        <n v="2"/>
        <n v="3"/>
        <n v="1"/>
        <n v="10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</r>
  <r>
    <x v="1"/>
    <x v="1"/>
    <x v="1"/>
  </r>
  <r>
    <x v="2"/>
    <x v="2"/>
    <x v="2"/>
  </r>
  <r>
    <x v="3"/>
    <x v="3"/>
    <x v="3"/>
  </r>
  <r>
    <x v="4"/>
    <x v="3"/>
    <x v="2"/>
  </r>
  <r>
    <x v="5"/>
    <x v="4"/>
    <x v="0"/>
  </r>
  <r>
    <x v="6"/>
    <x v="4"/>
    <x v="0"/>
  </r>
  <r>
    <x v="7"/>
    <x v="5"/>
    <x v="0"/>
  </r>
  <r>
    <x v="8"/>
    <x v="5"/>
    <x v="0"/>
  </r>
  <r>
    <x v="9"/>
    <x v="5"/>
    <x v="1"/>
  </r>
  <r>
    <x v="10"/>
    <x v="6"/>
    <x v="1"/>
  </r>
  <r>
    <x v="8"/>
    <x v="6"/>
    <x v="1"/>
  </r>
  <r>
    <x v="11"/>
    <x v="6"/>
    <x v="1"/>
  </r>
  <r>
    <x v="8"/>
    <x v="6"/>
    <x v="4"/>
  </r>
  <r>
    <x v="12"/>
    <x v="3"/>
    <x v="4"/>
  </r>
  <r>
    <x v="13"/>
    <x v="3"/>
    <x v="4"/>
  </r>
  <r>
    <x v="14"/>
    <x v="0"/>
    <x v="5"/>
  </r>
  <r>
    <x v="15"/>
    <x v="1"/>
    <x v="5"/>
  </r>
  <r>
    <x v="16"/>
    <x v="2"/>
    <x v="5"/>
  </r>
  <r>
    <x v="17"/>
    <x v="7"/>
    <x v="6"/>
  </r>
  <r>
    <x v="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59434-1ECD-424B-89FF-D3473ED38871}" name="Cuenta de Servicios" cacheId="6" applyNumberFormats="0" applyBorderFormats="0" applyFontFormats="0" applyPatternFormats="0" applyAlignmentFormats="0" applyWidthHeightFormats="1" dataCaption="Valores" errorCaption="ERROR" showError="1" updatedVersion="8" minRefreshableVersion="3" useAutoFormatting="1" itemPrintTitles="1" createdVersion="8" indent="0" outline="1" outlineData="1" multipleFieldFilters="0" fieldListSortAscending="1">
  <location ref="E3:N23" firstHeaderRow="1" firstDataRow="2" firstDataCol="1" rowPageCount="1" colPageCount="1"/>
  <pivotFields count="3">
    <pivotField axis="axisRow" showAll="0" defaultSubtotal="0">
      <items count="18">
        <item x="0"/>
        <item x="1"/>
        <item x="2"/>
        <item x="3"/>
        <item x="13"/>
        <item x="12"/>
        <item x="5"/>
        <item x="6"/>
        <item x="4"/>
        <item x="7"/>
        <item x="8"/>
        <item x="11"/>
        <item x="9"/>
        <item x="10"/>
        <item x="14"/>
        <item x="15"/>
        <item x="16"/>
        <item x="17"/>
      </items>
    </pivotField>
    <pivotField axis="axisCol" dataField="1" showAll="0" defaultSubtotal="0">
      <items count="8">
        <item x="5"/>
        <item x="0"/>
        <item x="1"/>
        <item x="6"/>
        <item x="3"/>
        <item x="4"/>
        <item x="7"/>
        <item x="2"/>
      </items>
    </pivotField>
    <pivotField axis="axisPage" showAll="0" defaultSubtotal="0">
      <items count="7">
        <item x="2"/>
        <item x="0"/>
        <item x="1"/>
        <item x="4"/>
        <item x="5"/>
        <item x="6"/>
        <item x="3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2" hier="-1"/>
  </pageFields>
  <dataFields count="1">
    <dataField name="Cuenta de Servicio" fld="1" subtotal="count" baseField="0" baseItem="0"/>
  </dataField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8">
          <x14:conditionalFormat priority="1" id="{C09D85B2-755E-4AB1-A16A-A19ACAE02E8D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7"/>
                  </reference>
                </references>
              </pivotArea>
            </x14:pivotAreas>
          </x14:conditionalFormat>
          <x14:conditionalFormat priority="2" id="{1C4229DD-06C5-481E-98B4-6A75EA12CCAA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6"/>
                  </reference>
                </references>
              </pivotArea>
            </x14:pivotAreas>
          </x14:conditionalFormat>
          <x14:conditionalFormat priority="3" id="{87115D5C-3926-4FB8-BFCB-A139F15CEBF6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5"/>
                  </reference>
                </references>
              </pivotArea>
            </x14:pivotAreas>
          </x14:conditionalFormat>
          <x14:conditionalFormat priority="4" id="{E3A4C9E1-6433-494C-B0A8-6B3B86A9C58E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4"/>
                  </reference>
                </references>
              </pivotArea>
            </x14:pivotAreas>
          </x14:conditionalFormat>
          <x14:conditionalFormat priority="5" id="{E44A7AFE-BF5F-4605-BF07-8AD4CD91445F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3"/>
                  </reference>
                </references>
              </pivotArea>
            </x14:pivotAreas>
          </x14:conditionalFormat>
          <x14:conditionalFormat priority="6" id="{37E7BC10-E927-42F8-9D71-1CC5984F8C29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  <x14:conditionalFormat priority="7" id="{4BAE3527-29FF-46F7-8027-1503D171A592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8" id="{6684282D-5FFF-4EFB-81A5-AC36E5FF29C0}">
            <x14:pivotAreas count="1">
              <pivotArea type="data" collapsedLevelsAreSubtotals="1" fieldPosition="0">
                <references count="3">
                  <reference field="4294967294" count="1" selected="0">
                    <x v="0"/>
                  </reference>
                  <reference field="0" count="18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  <x v="9"/>
                    <x v="10"/>
                    <x v="11"/>
                    <x v="12"/>
                    <x v="13"/>
                    <x v="14"/>
                    <x v="15"/>
                    <x v="16"/>
                    <x v="17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5039B-76DA-421A-B87E-8708AF4BC239}" name="Aspirantes" displayName="Aspirantes" ref="D1:F44" totalsRowShown="0">
  <autoFilter ref="D1:F44" xr:uid="{D585039B-76DA-421A-B87E-8708AF4BC239}"/>
  <tableColumns count="3">
    <tableColumn id="1" xr3:uid="{F714C74F-4539-4E80-8460-80C1EE65BFED}" name="N°"/>
    <tableColumn id="2" xr3:uid="{CA30CAE9-6A77-45B6-84C4-08EBB10BD9AB}" name="aspirante"/>
    <tableColumn id="3" xr3:uid="{00D46803-F23D-433B-8E68-920606E6817B}" name="A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2024B2-4797-426B-A605-5AA8126B3AFE}" name="Servicios" displayName="Servicios" ref="A1:B9" totalsRowShown="0">
  <autoFilter ref="A1:B9" xr:uid="{7B2024B2-4797-426B-A605-5AA8126B3AFE}"/>
  <tableColumns count="2">
    <tableColumn id="1" xr3:uid="{5441E4D6-B63D-4681-951F-0B5084435CD9}" name="Servicio"/>
    <tableColumn id="2" xr3:uid="{A1E5F62C-00F0-4608-A054-3C27E43078E4}" name="Cup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066D7F-E03D-469F-823D-0846EAF74BD7}" name="Semanas" displayName="Semanas" ref="H1:I14" totalsRowShown="0">
  <autoFilter ref="H1:I14" xr:uid="{A9066D7F-E03D-469F-823D-0846EAF74BD7}"/>
  <tableColumns count="2">
    <tableColumn id="1" xr3:uid="{E72D4494-D491-4A7C-842D-1376D712DBFD}" name="Semana"/>
    <tableColumn id="2" xr3:uid="{C292219C-D625-44F5-995D-7D4F7464D90D}" name="Fecha Inicio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27D65F-ADCA-480D-B53F-B86F813DC019}" name="Asignaciones" displayName="Asignaciones" ref="A1:C22" totalsRowShown="0">
  <autoFilter ref="A1:C22" xr:uid="{E527D65F-ADCA-480D-B53F-B86F813DC019}"/>
  <tableColumns count="3">
    <tableColumn id="1" xr3:uid="{FE6DD0B2-0762-4F72-9960-FB3837504CD7}" name="N° Asp"/>
    <tableColumn id="2" xr3:uid="{3180D0CA-2B23-44E6-A964-40DF7FFDABB3}" name="Servicio"/>
    <tableColumn id="3" xr3:uid="{E4C3896C-7B12-4FDE-B6FB-B2236D193848}" name="Sem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5457-25DB-4045-A80C-C6A36C8AD7A1}">
  <dimension ref="A1:I44"/>
  <sheetViews>
    <sheetView tabSelected="1" topLeftCell="A2" workbookViewId="0">
      <selection activeCell="B5" sqref="B5"/>
    </sheetView>
  </sheetViews>
  <sheetFormatPr baseColWidth="10" defaultRowHeight="14.4" x14ac:dyDescent="0.3"/>
  <cols>
    <col min="1" max="1" width="28.44140625" customWidth="1"/>
    <col min="3" max="3" width="19.109375" customWidth="1"/>
    <col min="5" max="5" width="22.44140625" customWidth="1"/>
    <col min="9" max="9" width="13.88671875" customWidth="1"/>
  </cols>
  <sheetData>
    <row r="1" spans="1:9" x14ac:dyDescent="0.3">
      <c r="A1" t="s">
        <v>9</v>
      </c>
      <c r="B1" t="s">
        <v>10</v>
      </c>
      <c r="D1" t="s">
        <v>8</v>
      </c>
      <c r="E1" t="s">
        <v>11</v>
      </c>
      <c r="F1" t="s">
        <v>12</v>
      </c>
      <c r="H1" t="s">
        <v>16</v>
      </c>
      <c r="I1" t="s">
        <v>17</v>
      </c>
    </row>
    <row r="2" spans="1:9" x14ac:dyDescent="0.3">
      <c r="A2" t="s">
        <v>0</v>
      </c>
      <c r="B2">
        <v>3</v>
      </c>
      <c r="D2">
        <v>1</v>
      </c>
      <c r="E2" t="s">
        <v>26</v>
      </c>
      <c r="F2" t="s">
        <v>13</v>
      </c>
      <c r="H2">
        <v>1</v>
      </c>
      <c r="I2" s="1">
        <v>46197</v>
      </c>
    </row>
    <row r="3" spans="1:9" x14ac:dyDescent="0.3">
      <c r="A3" t="s">
        <v>1</v>
      </c>
      <c r="B3">
        <v>3</v>
      </c>
      <c r="D3">
        <v>2</v>
      </c>
      <c r="E3" t="s">
        <v>27</v>
      </c>
      <c r="F3" t="s">
        <v>13</v>
      </c>
      <c r="H3">
        <v>2</v>
      </c>
      <c r="I3" s="1">
        <v>46204</v>
      </c>
    </row>
    <row r="4" spans="1:9" x14ac:dyDescent="0.3">
      <c r="A4" t="s">
        <v>2</v>
      </c>
      <c r="B4">
        <v>6</v>
      </c>
      <c r="D4">
        <v>3</v>
      </c>
      <c r="E4" t="s">
        <v>28</v>
      </c>
      <c r="F4" t="s">
        <v>13</v>
      </c>
      <c r="H4">
        <v>3</v>
      </c>
      <c r="I4" s="1">
        <v>46211</v>
      </c>
    </row>
    <row r="5" spans="1:9" x14ac:dyDescent="0.3">
      <c r="A5" t="s">
        <v>3</v>
      </c>
      <c r="B5" s="33">
        <f>D44/2</f>
        <v>21.5</v>
      </c>
      <c r="D5">
        <v>4</v>
      </c>
      <c r="E5" t="s">
        <v>29</v>
      </c>
      <c r="F5" t="s">
        <v>13</v>
      </c>
      <c r="H5">
        <v>4</v>
      </c>
      <c r="I5" s="1">
        <v>46218</v>
      </c>
    </row>
    <row r="6" spans="1:9" x14ac:dyDescent="0.3">
      <c r="A6" t="s">
        <v>4</v>
      </c>
      <c r="B6" s="33">
        <f>D44/2</f>
        <v>21.5</v>
      </c>
      <c r="D6">
        <v>5</v>
      </c>
      <c r="E6" t="s">
        <v>26</v>
      </c>
      <c r="F6" t="s">
        <v>13</v>
      </c>
      <c r="H6">
        <v>5</v>
      </c>
      <c r="I6" s="1">
        <v>46239</v>
      </c>
    </row>
    <row r="7" spans="1:9" x14ac:dyDescent="0.3">
      <c r="A7" t="s">
        <v>5</v>
      </c>
      <c r="B7">
        <v>4</v>
      </c>
      <c r="D7">
        <v>6</v>
      </c>
      <c r="E7" t="s">
        <v>30</v>
      </c>
      <c r="F7" t="s">
        <v>13</v>
      </c>
      <c r="H7">
        <v>6</v>
      </c>
      <c r="I7" s="1">
        <v>46246</v>
      </c>
    </row>
    <row r="8" spans="1:9" x14ac:dyDescent="0.3">
      <c r="A8" t="s">
        <v>6</v>
      </c>
      <c r="B8">
        <v>4</v>
      </c>
      <c r="D8">
        <v>7</v>
      </c>
      <c r="E8" t="s">
        <v>31</v>
      </c>
      <c r="F8" t="s">
        <v>13</v>
      </c>
      <c r="H8">
        <v>7</v>
      </c>
      <c r="I8" s="1">
        <v>46253</v>
      </c>
    </row>
    <row r="9" spans="1:9" x14ac:dyDescent="0.3">
      <c r="A9" t="s">
        <v>7</v>
      </c>
      <c r="B9">
        <v>4</v>
      </c>
      <c r="D9">
        <v>8</v>
      </c>
      <c r="E9" t="s">
        <v>32</v>
      </c>
      <c r="F9" t="s">
        <v>13</v>
      </c>
      <c r="H9">
        <v>8</v>
      </c>
      <c r="I9" s="1">
        <v>46260</v>
      </c>
    </row>
    <row r="10" spans="1:9" x14ac:dyDescent="0.3">
      <c r="D10">
        <v>9</v>
      </c>
      <c r="E10" t="s">
        <v>33</v>
      </c>
      <c r="F10" t="s">
        <v>13</v>
      </c>
      <c r="H10">
        <v>9</v>
      </c>
      <c r="I10" s="1">
        <v>46267</v>
      </c>
    </row>
    <row r="11" spans="1:9" x14ac:dyDescent="0.3">
      <c r="D11">
        <v>10</v>
      </c>
      <c r="E11" t="s">
        <v>34</v>
      </c>
      <c r="F11" t="s">
        <v>13</v>
      </c>
      <c r="H11">
        <v>10</v>
      </c>
      <c r="I11" s="1">
        <v>46274</v>
      </c>
    </row>
    <row r="12" spans="1:9" x14ac:dyDescent="0.3">
      <c r="D12">
        <v>11</v>
      </c>
      <c r="E12" t="s">
        <v>35</v>
      </c>
      <c r="F12" t="s">
        <v>13</v>
      </c>
      <c r="H12">
        <v>11</v>
      </c>
      <c r="I12" s="1">
        <v>46281</v>
      </c>
    </row>
    <row r="13" spans="1:9" x14ac:dyDescent="0.3">
      <c r="D13">
        <v>12</v>
      </c>
      <c r="E13" t="s">
        <v>36</v>
      </c>
      <c r="F13" t="s">
        <v>13</v>
      </c>
      <c r="H13">
        <v>12</v>
      </c>
      <c r="I13" s="1">
        <v>46288</v>
      </c>
    </row>
    <row r="14" spans="1:9" x14ac:dyDescent="0.3">
      <c r="D14">
        <v>13</v>
      </c>
      <c r="E14" t="s">
        <v>37</v>
      </c>
      <c r="F14" t="s">
        <v>13</v>
      </c>
      <c r="H14">
        <v>13</v>
      </c>
      <c r="I14" s="1">
        <v>46295</v>
      </c>
    </row>
    <row r="15" spans="1:9" x14ac:dyDescent="0.3">
      <c r="D15">
        <v>14</v>
      </c>
      <c r="E15" t="s">
        <v>38</v>
      </c>
      <c r="F15" t="s">
        <v>13</v>
      </c>
    </row>
    <row r="16" spans="1:9" x14ac:dyDescent="0.3">
      <c r="D16">
        <v>15</v>
      </c>
      <c r="E16" t="s">
        <v>39</v>
      </c>
      <c r="F16" t="s">
        <v>13</v>
      </c>
    </row>
    <row r="17" spans="4:6" x14ac:dyDescent="0.3">
      <c r="D17">
        <v>16</v>
      </c>
      <c r="E17" t="s">
        <v>40</v>
      </c>
      <c r="F17" t="s">
        <v>13</v>
      </c>
    </row>
    <row r="18" spans="4:6" x14ac:dyDescent="0.3">
      <c r="D18">
        <v>17</v>
      </c>
      <c r="E18" t="s">
        <v>41</v>
      </c>
      <c r="F18" t="s">
        <v>13</v>
      </c>
    </row>
    <row r="19" spans="4:6" x14ac:dyDescent="0.3">
      <c r="D19">
        <v>18</v>
      </c>
      <c r="E19" t="s">
        <v>37</v>
      </c>
      <c r="F19" t="s">
        <v>13</v>
      </c>
    </row>
    <row r="20" spans="4:6" x14ac:dyDescent="0.3">
      <c r="D20">
        <v>19</v>
      </c>
      <c r="E20" t="s">
        <v>42</v>
      </c>
      <c r="F20" t="s">
        <v>13</v>
      </c>
    </row>
    <row r="21" spans="4:6" x14ac:dyDescent="0.3">
      <c r="D21">
        <v>20</v>
      </c>
      <c r="E21" t="s">
        <v>43</v>
      </c>
      <c r="F21" t="s">
        <v>13</v>
      </c>
    </row>
    <row r="22" spans="4:6" x14ac:dyDescent="0.3">
      <c r="D22">
        <v>21</v>
      </c>
      <c r="E22" t="s">
        <v>44</v>
      </c>
      <c r="F22" t="s">
        <v>14</v>
      </c>
    </row>
    <row r="23" spans="4:6" x14ac:dyDescent="0.3">
      <c r="D23">
        <v>22</v>
      </c>
      <c r="E23" t="s">
        <v>45</v>
      </c>
      <c r="F23" t="s">
        <v>14</v>
      </c>
    </row>
    <row r="24" spans="4:6" x14ac:dyDescent="0.3">
      <c r="D24">
        <v>23</v>
      </c>
      <c r="E24" t="s">
        <v>46</v>
      </c>
      <c r="F24" t="s">
        <v>14</v>
      </c>
    </row>
    <row r="25" spans="4:6" x14ac:dyDescent="0.3">
      <c r="D25">
        <v>24</v>
      </c>
      <c r="E25" t="s">
        <v>47</v>
      </c>
      <c r="F25" t="s">
        <v>14</v>
      </c>
    </row>
    <row r="26" spans="4:6" x14ac:dyDescent="0.3">
      <c r="D26">
        <v>25</v>
      </c>
      <c r="E26" t="s">
        <v>48</v>
      </c>
      <c r="F26" t="s">
        <v>14</v>
      </c>
    </row>
    <row r="27" spans="4:6" x14ac:dyDescent="0.3">
      <c r="D27">
        <v>26</v>
      </c>
      <c r="E27" t="s">
        <v>49</v>
      </c>
      <c r="F27" t="s">
        <v>14</v>
      </c>
    </row>
    <row r="28" spans="4:6" x14ac:dyDescent="0.3">
      <c r="D28">
        <v>27</v>
      </c>
      <c r="E28" t="s">
        <v>50</v>
      </c>
      <c r="F28" t="s">
        <v>14</v>
      </c>
    </row>
    <row r="29" spans="4:6" x14ac:dyDescent="0.3">
      <c r="D29">
        <v>28</v>
      </c>
      <c r="E29" t="s">
        <v>51</v>
      </c>
      <c r="F29" t="s">
        <v>14</v>
      </c>
    </row>
    <row r="30" spans="4:6" x14ac:dyDescent="0.3">
      <c r="D30">
        <v>29</v>
      </c>
      <c r="E30" t="s">
        <v>52</v>
      </c>
      <c r="F30" t="s">
        <v>14</v>
      </c>
    </row>
    <row r="31" spans="4:6" x14ac:dyDescent="0.3">
      <c r="D31">
        <v>30</v>
      </c>
      <c r="E31" t="s">
        <v>53</v>
      </c>
      <c r="F31" t="s">
        <v>14</v>
      </c>
    </row>
    <row r="32" spans="4:6" x14ac:dyDescent="0.3">
      <c r="D32">
        <v>31</v>
      </c>
      <c r="E32" t="s">
        <v>54</v>
      </c>
      <c r="F32" t="s">
        <v>14</v>
      </c>
    </row>
    <row r="33" spans="4:6" x14ac:dyDescent="0.3">
      <c r="D33">
        <v>32</v>
      </c>
      <c r="E33" t="s">
        <v>55</v>
      </c>
      <c r="F33" t="s">
        <v>14</v>
      </c>
    </row>
    <row r="34" spans="4:6" x14ac:dyDescent="0.3">
      <c r="D34">
        <v>33</v>
      </c>
      <c r="E34" t="s">
        <v>56</v>
      </c>
      <c r="F34" t="s">
        <v>14</v>
      </c>
    </row>
    <row r="35" spans="4:6" x14ac:dyDescent="0.3">
      <c r="D35">
        <v>34</v>
      </c>
      <c r="E35" t="s">
        <v>57</v>
      </c>
      <c r="F35" t="s">
        <v>14</v>
      </c>
    </row>
    <row r="36" spans="4:6" x14ac:dyDescent="0.3">
      <c r="D36">
        <v>35</v>
      </c>
      <c r="E36" t="s">
        <v>58</v>
      </c>
      <c r="F36" t="s">
        <v>14</v>
      </c>
    </row>
    <row r="37" spans="4:6" x14ac:dyDescent="0.3">
      <c r="D37">
        <v>36</v>
      </c>
      <c r="E37" t="s">
        <v>59</v>
      </c>
      <c r="F37" t="s">
        <v>14</v>
      </c>
    </row>
    <row r="38" spans="4:6" x14ac:dyDescent="0.3">
      <c r="D38">
        <v>37</v>
      </c>
      <c r="E38" t="s">
        <v>31</v>
      </c>
      <c r="F38" t="s">
        <v>14</v>
      </c>
    </row>
    <row r="39" spans="4:6" x14ac:dyDescent="0.3">
      <c r="D39">
        <v>38</v>
      </c>
      <c r="E39" t="s">
        <v>61</v>
      </c>
      <c r="F39" t="s">
        <v>14</v>
      </c>
    </row>
    <row r="40" spans="4:6" x14ac:dyDescent="0.3">
      <c r="D40">
        <v>39</v>
      </c>
      <c r="E40" t="s">
        <v>62</v>
      </c>
      <c r="F40" t="s">
        <v>14</v>
      </c>
    </row>
    <row r="41" spans="4:6" x14ac:dyDescent="0.3">
      <c r="D41">
        <v>40</v>
      </c>
      <c r="E41" t="s">
        <v>60</v>
      </c>
      <c r="F41" t="s">
        <v>14</v>
      </c>
    </row>
    <row r="42" spans="4:6" x14ac:dyDescent="0.3">
      <c r="D42">
        <v>41</v>
      </c>
      <c r="E42" t="s">
        <v>63</v>
      </c>
      <c r="F42" t="s">
        <v>14</v>
      </c>
    </row>
    <row r="43" spans="4:6" x14ac:dyDescent="0.3">
      <c r="D43">
        <v>42</v>
      </c>
      <c r="E43" t="s">
        <v>64</v>
      </c>
      <c r="F43" t="s">
        <v>14</v>
      </c>
    </row>
    <row r="44" spans="4:6" x14ac:dyDescent="0.3">
      <c r="D44">
        <v>43</v>
      </c>
      <c r="E44" t="s">
        <v>65</v>
      </c>
      <c r="F44" t="s">
        <v>14</v>
      </c>
    </row>
  </sheetData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3ABA-6E28-41DB-9D10-1A1BECF005CD}">
  <dimension ref="A1:N23"/>
  <sheetViews>
    <sheetView zoomScale="70" zoomScaleNormal="70" workbookViewId="0">
      <selection activeCell="B5" sqref="B5"/>
    </sheetView>
  </sheetViews>
  <sheetFormatPr baseColWidth="10" defaultRowHeight="14.4" x14ac:dyDescent="0.3"/>
  <cols>
    <col min="2" max="2" width="16.33203125" customWidth="1"/>
    <col min="3" max="3" width="17.33203125" customWidth="1"/>
    <col min="5" max="5" width="17.88671875" bestFit="1" customWidth="1"/>
    <col min="6" max="6" width="22.77734375" bestFit="1" customWidth="1"/>
    <col min="7" max="7" width="20.5546875" bestFit="1" customWidth="1"/>
    <col min="8" max="8" width="22.6640625" bestFit="1" customWidth="1"/>
    <col min="9" max="9" width="3.88671875" bestFit="1" customWidth="1"/>
    <col min="10" max="10" width="15" bestFit="1" customWidth="1"/>
    <col min="11" max="11" width="12.44140625" bestFit="1" customWidth="1"/>
    <col min="12" max="12" width="5" bestFit="1" customWidth="1"/>
    <col min="13" max="13" width="3.88671875" bestFit="1" customWidth="1"/>
    <col min="14" max="14" width="12.21875" bestFit="1" customWidth="1"/>
    <col min="15" max="22" width="22.88671875" bestFit="1" customWidth="1"/>
    <col min="23" max="23" width="12.5546875" bestFit="1" customWidth="1"/>
  </cols>
  <sheetData>
    <row r="1" spans="1:14" x14ac:dyDescent="0.3">
      <c r="A1" t="s">
        <v>15</v>
      </c>
      <c r="B1" t="s">
        <v>9</v>
      </c>
      <c r="C1" t="s">
        <v>16</v>
      </c>
      <c r="E1" s="2" t="s">
        <v>16</v>
      </c>
      <c r="F1" t="s">
        <v>21</v>
      </c>
    </row>
    <row r="2" spans="1:14" x14ac:dyDescent="0.3">
      <c r="A2">
        <v>1</v>
      </c>
      <c r="B2" t="s">
        <v>3</v>
      </c>
      <c r="C2">
        <v>2</v>
      </c>
    </row>
    <row r="3" spans="1:14" x14ac:dyDescent="0.3">
      <c r="A3">
        <v>2</v>
      </c>
      <c r="B3" t="s">
        <v>4</v>
      </c>
      <c r="C3">
        <v>3</v>
      </c>
      <c r="E3" s="2" t="s">
        <v>22</v>
      </c>
      <c r="F3" s="2" t="s">
        <v>20</v>
      </c>
    </row>
    <row r="4" spans="1:14" x14ac:dyDescent="0.3">
      <c r="A4">
        <v>3</v>
      </c>
      <c r="B4" t="s">
        <v>1</v>
      </c>
      <c r="C4">
        <v>1</v>
      </c>
      <c r="E4" s="2" t="s">
        <v>18</v>
      </c>
      <c r="F4" t="s">
        <v>7</v>
      </c>
      <c r="G4" t="s">
        <v>3</v>
      </c>
      <c r="H4" t="s">
        <v>4</v>
      </c>
      <c r="I4" t="s">
        <v>2</v>
      </c>
      <c r="J4" t="s">
        <v>5</v>
      </c>
      <c r="K4" t="s">
        <v>6</v>
      </c>
      <c r="L4" t="s">
        <v>0</v>
      </c>
      <c r="M4" t="s">
        <v>1</v>
      </c>
      <c r="N4" t="s">
        <v>19</v>
      </c>
    </row>
    <row r="5" spans="1:14" x14ac:dyDescent="0.3">
      <c r="A5">
        <v>4</v>
      </c>
      <c r="B5" t="s">
        <v>5</v>
      </c>
      <c r="C5">
        <v>10</v>
      </c>
      <c r="E5" s="3">
        <v>1</v>
      </c>
      <c r="F5" s="36"/>
      <c r="G5" s="36">
        <v>1</v>
      </c>
      <c r="H5" s="36"/>
      <c r="I5" s="36"/>
      <c r="J5" s="36"/>
      <c r="K5" s="36"/>
      <c r="L5" s="36">
        <v>1</v>
      </c>
      <c r="M5" s="36"/>
      <c r="N5" s="36">
        <v>2</v>
      </c>
    </row>
    <row r="6" spans="1:14" x14ac:dyDescent="0.3">
      <c r="A6">
        <v>20</v>
      </c>
      <c r="B6" t="s">
        <v>5</v>
      </c>
      <c r="C6">
        <v>1</v>
      </c>
      <c r="E6" s="3">
        <v>2</v>
      </c>
      <c r="F6" s="36"/>
      <c r="G6" s="36"/>
      <c r="H6" s="36">
        <v>1</v>
      </c>
      <c r="I6" s="36"/>
      <c r="J6" s="36"/>
      <c r="K6" s="36"/>
      <c r="L6" s="36"/>
      <c r="M6" s="36"/>
      <c r="N6" s="36">
        <v>1</v>
      </c>
    </row>
    <row r="7" spans="1:14" x14ac:dyDescent="0.3">
      <c r="A7">
        <v>15</v>
      </c>
      <c r="B7" t="s">
        <v>6</v>
      </c>
      <c r="C7">
        <v>2</v>
      </c>
      <c r="E7" s="3">
        <v>3</v>
      </c>
      <c r="F7" s="36"/>
      <c r="G7" s="36"/>
      <c r="H7" s="36"/>
      <c r="I7" s="36"/>
      <c r="J7" s="36"/>
      <c r="K7" s="36"/>
      <c r="L7" s="36"/>
      <c r="M7" s="36">
        <v>1</v>
      </c>
      <c r="N7" s="36">
        <v>1</v>
      </c>
    </row>
    <row r="8" spans="1:14" x14ac:dyDescent="0.3">
      <c r="A8">
        <v>16</v>
      </c>
      <c r="B8" t="s">
        <v>6</v>
      </c>
      <c r="C8">
        <v>2</v>
      </c>
      <c r="E8" s="3">
        <v>4</v>
      </c>
      <c r="F8" s="36"/>
      <c r="G8" s="36"/>
      <c r="H8" s="36"/>
      <c r="I8" s="36"/>
      <c r="J8" s="36">
        <v>1</v>
      </c>
      <c r="K8" s="36"/>
      <c r="L8" s="36"/>
      <c r="M8" s="36"/>
      <c r="N8" s="36">
        <v>1</v>
      </c>
    </row>
    <row r="9" spans="1:14" x14ac:dyDescent="0.3">
      <c r="A9">
        <v>22</v>
      </c>
      <c r="B9" t="s">
        <v>7</v>
      </c>
      <c r="C9">
        <v>2</v>
      </c>
      <c r="E9" s="3">
        <v>6</v>
      </c>
      <c r="F9" s="36"/>
      <c r="G9" s="36"/>
      <c r="H9" s="36"/>
      <c r="I9" s="36"/>
      <c r="J9" s="36">
        <v>1</v>
      </c>
      <c r="K9" s="36"/>
      <c r="L9" s="36"/>
      <c r="M9" s="36"/>
      <c r="N9" s="36">
        <v>1</v>
      </c>
    </row>
    <row r="10" spans="1:14" x14ac:dyDescent="0.3">
      <c r="A10">
        <v>23</v>
      </c>
      <c r="B10" t="s">
        <v>7</v>
      </c>
      <c r="C10">
        <v>2</v>
      </c>
      <c r="E10" s="3">
        <v>12</v>
      </c>
      <c r="F10" s="36"/>
      <c r="G10" s="36"/>
      <c r="H10" s="36"/>
      <c r="I10" s="36"/>
      <c r="J10" s="36">
        <v>1</v>
      </c>
      <c r="K10" s="36"/>
      <c r="L10" s="36"/>
      <c r="M10" s="36"/>
      <c r="N10" s="36">
        <v>1</v>
      </c>
    </row>
    <row r="11" spans="1:14" x14ac:dyDescent="0.3">
      <c r="A11">
        <v>30</v>
      </c>
      <c r="B11" t="s">
        <v>7</v>
      </c>
      <c r="C11">
        <v>3</v>
      </c>
      <c r="E11" s="3">
        <v>15</v>
      </c>
      <c r="F11" s="36"/>
      <c r="G11" s="36"/>
      <c r="H11" s="36"/>
      <c r="I11" s="36"/>
      <c r="J11" s="36"/>
      <c r="K11" s="36">
        <v>1</v>
      </c>
      <c r="L11" s="36"/>
      <c r="M11" s="36"/>
      <c r="N11" s="36">
        <v>1</v>
      </c>
    </row>
    <row r="12" spans="1:14" x14ac:dyDescent="0.3">
      <c r="A12">
        <v>31</v>
      </c>
      <c r="B12" t="s">
        <v>2</v>
      </c>
      <c r="C12">
        <v>3</v>
      </c>
      <c r="E12" s="3">
        <v>16</v>
      </c>
      <c r="F12" s="36"/>
      <c r="G12" s="36"/>
      <c r="H12" s="36"/>
      <c r="I12" s="36"/>
      <c r="J12" s="36"/>
      <c r="K12" s="36">
        <v>1</v>
      </c>
      <c r="L12" s="36"/>
      <c r="M12" s="36"/>
      <c r="N12" s="36">
        <v>1</v>
      </c>
    </row>
    <row r="13" spans="1:14" x14ac:dyDescent="0.3">
      <c r="A13">
        <v>23</v>
      </c>
      <c r="B13" t="s">
        <v>2</v>
      </c>
      <c r="C13">
        <v>3</v>
      </c>
      <c r="E13" s="3">
        <v>20</v>
      </c>
      <c r="F13" s="36"/>
      <c r="G13" s="36"/>
      <c r="H13" s="36"/>
      <c r="I13" s="36"/>
      <c r="J13" s="36">
        <v>1</v>
      </c>
      <c r="K13" s="36"/>
      <c r="L13" s="36"/>
      <c r="M13" s="36"/>
      <c r="N13" s="36">
        <v>1</v>
      </c>
    </row>
    <row r="14" spans="1:14" x14ac:dyDescent="0.3">
      <c r="A14">
        <v>24</v>
      </c>
      <c r="B14" t="s">
        <v>2</v>
      </c>
      <c r="C14">
        <v>3</v>
      </c>
      <c r="E14" s="3">
        <v>22</v>
      </c>
      <c r="F14" s="36">
        <v>1</v>
      </c>
      <c r="G14" s="36"/>
      <c r="H14" s="36"/>
      <c r="I14" s="36"/>
      <c r="J14" s="36"/>
      <c r="K14" s="36"/>
      <c r="L14" s="36"/>
      <c r="M14" s="36"/>
      <c r="N14" s="36">
        <v>1</v>
      </c>
    </row>
    <row r="15" spans="1:14" x14ac:dyDescent="0.3">
      <c r="A15">
        <v>23</v>
      </c>
      <c r="B15" t="s">
        <v>2</v>
      </c>
      <c r="C15">
        <v>4</v>
      </c>
      <c r="E15" s="3">
        <v>23</v>
      </c>
      <c r="F15" s="36">
        <v>1</v>
      </c>
      <c r="G15" s="36"/>
      <c r="H15" s="36"/>
      <c r="I15" s="36">
        <v>2</v>
      </c>
      <c r="J15" s="36"/>
      <c r="K15" s="36"/>
      <c r="L15" s="36"/>
      <c r="M15" s="36"/>
      <c r="N15" s="36">
        <v>3</v>
      </c>
    </row>
    <row r="16" spans="1:14" x14ac:dyDescent="0.3">
      <c r="A16">
        <v>12</v>
      </c>
      <c r="B16" t="s">
        <v>5</v>
      </c>
      <c r="C16">
        <v>4</v>
      </c>
      <c r="E16" s="3">
        <v>24</v>
      </c>
      <c r="F16" s="36"/>
      <c r="G16" s="36"/>
      <c r="H16" s="36"/>
      <c r="I16" s="36">
        <v>1</v>
      </c>
      <c r="J16" s="36"/>
      <c r="K16" s="36"/>
      <c r="L16" s="36"/>
      <c r="M16" s="36"/>
      <c r="N16" s="36">
        <v>1</v>
      </c>
    </row>
    <row r="17" spans="1:14" x14ac:dyDescent="0.3">
      <c r="A17">
        <v>6</v>
      </c>
      <c r="B17" t="s">
        <v>5</v>
      </c>
      <c r="C17">
        <v>4</v>
      </c>
      <c r="E17" s="3">
        <v>30</v>
      </c>
      <c r="F17" s="36">
        <v>1</v>
      </c>
      <c r="G17" s="36"/>
      <c r="H17" s="36"/>
      <c r="I17" s="36"/>
      <c r="J17" s="36"/>
      <c r="K17" s="36"/>
      <c r="L17" s="36"/>
      <c r="M17" s="36"/>
      <c r="N17" s="36">
        <v>1</v>
      </c>
    </row>
    <row r="18" spans="1:14" x14ac:dyDescent="0.3">
      <c r="A18">
        <v>34</v>
      </c>
      <c r="B18" t="s">
        <v>3</v>
      </c>
      <c r="C18">
        <v>5</v>
      </c>
      <c r="E18" s="3">
        <v>31</v>
      </c>
      <c r="F18" s="36"/>
      <c r="G18" s="36"/>
      <c r="H18" s="36"/>
      <c r="I18" s="36">
        <v>1</v>
      </c>
      <c r="J18" s="36"/>
      <c r="K18" s="36"/>
      <c r="L18" s="36"/>
      <c r="M18" s="36"/>
      <c r="N18" s="36">
        <v>1</v>
      </c>
    </row>
    <row r="19" spans="1:14" x14ac:dyDescent="0.3">
      <c r="A19">
        <v>37</v>
      </c>
      <c r="B19" t="s">
        <v>4</v>
      </c>
      <c r="C19">
        <v>5</v>
      </c>
      <c r="E19" s="3">
        <v>34</v>
      </c>
      <c r="F19" s="36"/>
      <c r="G19" s="36">
        <v>1</v>
      </c>
      <c r="H19" s="36"/>
      <c r="I19" s="36"/>
      <c r="J19" s="36"/>
      <c r="K19" s="36"/>
      <c r="L19" s="36"/>
      <c r="M19" s="36"/>
      <c r="N19" s="36">
        <v>1</v>
      </c>
    </row>
    <row r="20" spans="1:14" x14ac:dyDescent="0.3">
      <c r="A20">
        <v>40</v>
      </c>
      <c r="B20" t="s">
        <v>1</v>
      </c>
      <c r="C20">
        <v>5</v>
      </c>
      <c r="E20" s="3">
        <v>37</v>
      </c>
      <c r="F20" s="36"/>
      <c r="G20" s="36"/>
      <c r="H20" s="36">
        <v>1</v>
      </c>
      <c r="I20" s="36"/>
      <c r="J20" s="36"/>
      <c r="K20" s="36"/>
      <c r="L20" s="36"/>
      <c r="M20" s="36"/>
      <c r="N20" s="36">
        <v>1</v>
      </c>
    </row>
    <row r="21" spans="1:14" x14ac:dyDescent="0.3">
      <c r="A21">
        <v>43</v>
      </c>
      <c r="B21" t="s">
        <v>0</v>
      </c>
      <c r="C21">
        <v>6</v>
      </c>
      <c r="E21" s="3">
        <v>40</v>
      </c>
      <c r="F21" s="36"/>
      <c r="G21" s="36"/>
      <c r="H21" s="36"/>
      <c r="I21" s="36"/>
      <c r="J21" s="36"/>
      <c r="K21" s="36"/>
      <c r="L21" s="36"/>
      <c r="M21" s="36">
        <v>1</v>
      </c>
      <c r="N21" s="36">
        <v>1</v>
      </c>
    </row>
    <row r="22" spans="1:14" x14ac:dyDescent="0.3">
      <c r="A22">
        <v>1</v>
      </c>
      <c r="B22" t="s">
        <v>0</v>
      </c>
      <c r="C22">
        <v>1</v>
      </c>
      <c r="E22" s="3">
        <v>43</v>
      </c>
      <c r="F22" s="36"/>
      <c r="G22" s="36"/>
      <c r="H22" s="36"/>
      <c r="I22" s="36"/>
      <c r="J22" s="36"/>
      <c r="K22" s="36"/>
      <c r="L22" s="36">
        <v>1</v>
      </c>
      <c r="M22" s="36"/>
      <c r="N22" s="36">
        <v>1</v>
      </c>
    </row>
    <row r="23" spans="1:14" x14ac:dyDescent="0.3">
      <c r="E23" s="3" t="s">
        <v>19</v>
      </c>
      <c r="F23" s="36">
        <v>3</v>
      </c>
      <c r="G23" s="36">
        <v>2</v>
      </c>
      <c r="H23" s="36">
        <v>2</v>
      </c>
      <c r="I23" s="36">
        <v>4</v>
      </c>
      <c r="J23" s="36">
        <v>4</v>
      </c>
      <c r="K23" s="36">
        <v>2</v>
      </c>
      <c r="L23" s="36">
        <v>2</v>
      </c>
      <c r="M23" s="36">
        <v>2</v>
      </c>
      <c r="N23" s="36">
        <v>21</v>
      </c>
    </row>
  </sheetData>
  <dataValidations count="3">
    <dataValidation type="list" allowBlank="1" showInputMessage="1" showErrorMessage="1" sqref="A2:A22" xr:uid="{565672D1-3D49-4195-9F17-D7F19325348B}">
      <formula1>N°_Asp</formula1>
    </dataValidation>
    <dataValidation type="list" allowBlank="1" showInputMessage="1" showErrorMessage="1" sqref="B2:B22" xr:uid="{C8043570-F38A-4B4E-9CB8-AA1D19BAF88E}">
      <formula1>LServ</formula1>
    </dataValidation>
    <dataValidation type="list" allowBlank="1" showInputMessage="1" showErrorMessage="1" sqref="C2:C22" xr:uid="{A1D252F9-6CDC-4DE5-B275-71EE2EA6425C}">
      <formula1>LSem</formula1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cellIs" priority="8" operator="greaterThan" id="{6684282D-5FFF-4EFB-81A5-AC36E5FF29C0}">
            <xm:f>Datos!$B$2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F5:F22</xm:sqref>
        </x14:conditionalFormatting>
        <x14:conditionalFormatting xmlns:xm="http://schemas.microsoft.com/office/excel/2006/main" pivot="1">
          <x14:cfRule type="cellIs" priority="7" operator="greaterThan" id="{4BAE3527-29FF-46F7-8027-1503D171A592}">
            <xm:f>Datos!$B$3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G5:G22</xm:sqref>
        </x14:conditionalFormatting>
        <x14:conditionalFormatting xmlns:xm="http://schemas.microsoft.com/office/excel/2006/main" pivot="1">
          <x14:cfRule type="cellIs" priority="6" operator="greaterThan" id="{37E7BC10-E927-42F8-9D71-1CC5984F8C29}">
            <xm:f>Datos!$B$4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H5:H22</xm:sqref>
        </x14:conditionalFormatting>
        <x14:conditionalFormatting xmlns:xm="http://schemas.microsoft.com/office/excel/2006/main" pivot="1">
          <x14:cfRule type="cellIs" priority="5" operator="greaterThan" id="{E44A7AFE-BF5F-4605-BF07-8AD4CD91445F}">
            <xm:f>Datos!$B$5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I5:I22</xm:sqref>
        </x14:conditionalFormatting>
        <x14:conditionalFormatting xmlns:xm="http://schemas.microsoft.com/office/excel/2006/main" pivot="1">
          <x14:cfRule type="cellIs" priority="4" operator="greaterThan" id="{E3A4C9E1-6433-494C-B0A8-6B3B86A9C58E}">
            <xm:f>Datos!$B$6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J5:J22</xm:sqref>
        </x14:conditionalFormatting>
        <x14:conditionalFormatting xmlns:xm="http://schemas.microsoft.com/office/excel/2006/main" pivot="1">
          <x14:cfRule type="cellIs" priority="3" operator="greaterThan" id="{87115D5C-3926-4FB8-BFCB-A139F15CEBF6}">
            <xm:f>Datos!$B$7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K5:K22</xm:sqref>
        </x14:conditionalFormatting>
        <x14:conditionalFormatting xmlns:xm="http://schemas.microsoft.com/office/excel/2006/main" pivot="1">
          <x14:cfRule type="cellIs" priority="2" operator="greaterThan" id="{1C4229DD-06C5-481E-98B4-6A75EA12CCAA}">
            <xm:f>Datos!$B$8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L5:L22</xm:sqref>
        </x14:conditionalFormatting>
        <x14:conditionalFormatting xmlns:xm="http://schemas.microsoft.com/office/excel/2006/main" pivot="1">
          <x14:cfRule type="cellIs" priority="1" operator="greaterThan" id="{C09D85B2-755E-4AB1-A16A-A19ACAE02E8D}">
            <xm:f>Datos!$B$9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M5:M22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0163-D521-414D-8A06-EFDE0FC55EFD}">
  <dimension ref="A1:O46"/>
  <sheetViews>
    <sheetView zoomScale="70" zoomScaleNormal="70" workbookViewId="0">
      <selection activeCell="C4" sqref="C4"/>
    </sheetView>
  </sheetViews>
  <sheetFormatPr baseColWidth="10" defaultRowHeight="14.4" x14ac:dyDescent="0.3"/>
  <cols>
    <col min="1" max="1" width="6.109375" customWidth="1"/>
    <col min="2" max="2" width="47.44140625" customWidth="1"/>
    <col min="3" max="3" width="18.88671875" customWidth="1"/>
    <col min="4" max="15" width="15.109375" customWidth="1"/>
  </cols>
  <sheetData>
    <row r="1" spans="1:15" s="4" customFormat="1" ht="39.75" customHeight="1" thickBot="1" x14ac:dyDescent="0.35">
      <c r="A1" s="34" t="s">
        <v>25</v>
      </c>
      <c r="B1" s="35"/>
      <c r="C1" s="15" t="str" cm="1">
        <f t="array" ref="C1:O1">"Semana"&amp;" "&amp;TRANSPOSE(Semanas[Semana])</f>
        <v>Semana 1</v>
      </c>
      <c r="D1" s="16" t="str">
        <v>Semana 2</v>
      </c>
      <c r="E1" s="16" t="str">
        <v>Semana 3</v>
      </c>
      <c r="F1" s="16" t="str">
        <v>Semana 4</v>
      </c>
      <c r="G1" s="16" t="str">
        <v>Semana 5</v>
      </c>
      <c r="H1" s="16" t="str">
        <v>Semana 6</v>
      </c>
      <c r="I1" s="16" t="str">
        <v>Semana 7</v>
      </c>
      <c r="J1" s="22" t="str">
        <v>Semana 8</v>
      </c>
      <c r="K1" s="20" t="str">
        <v>Semana 9</v>
      </c>
      <c r="L1" s="16" t="str">
        <v>Semana 10</v>
      </c>
      <c r="M1" s="16" t="str">
        <v>Semana 11</v>
      </c>
      <c r="N1" s="16" t="str">
        <v>Semana 12</v>
      </c>
      <c r="O1" s="16" t="str">
        <v>Semana 13</v>
      </c>
    </row>
    <row r="2" spans="1:15" s="4" customFormat="1" ht="26.4" thickBot="1" x14ac:dyDescent="0.35">
      <c r="A2" s="34" t="s">
        <v>24</v>
      </c>
      <c r="B2" s="35"/>
      <c r="C2" s="24" t="str">
        <f>TEXT(C3,"[$-es-ES]dddd")</f>
        <v>miércoles</v>
      </c>
      <c r="D2" s="26" t="str">
        <f t="shared" ref="D2:O2" si="0">TEXT(D3,"[$-es-ES]dddd")</f>
        <v>miércoles</v>
      </c>
      <c r="E2" s="26" t="str">
        <f t="shared" si="0"/>
        <v>miércoles</v>
      </c>
      <c r="F2" s="26" t="str">
        <f t="shared" si="0"/>
        <v>miércoles</v>
      </c>
      <c r="G2" s="26" t="str">
        <f t="shared" si="0"/>
        <v>miércoles</v>
      </c>
      <c r="H2" s="26" t="str">
        <f t="shared" si="0"/>
        <v>miércoles</v>
      </c>
      <c r="I2" s="26" t="str">
        <f t="shared" si="0"/>
        <v>miércoles</v>
      </c>
      <c r="J2" s="23" t="str">
        <f t="shared" si="0"/>
        <v>miércoles</v>
      </c>
      <c r="K2" s="19" t="str">
        <f t="shared" si="0"/>
        <v>miércoles</v>
      </c>
      <c r="L2" s="26" t="str">
        <f t="shared" si="0"/>
        <v>miércoles</v>
      </c>
      <c r="M2" s="26" t="str">
        <f t="shared" si="0"/>
        <v>miércoles</v>
      </c>
      <c r="N2" s="26" t="str">
        <f t="shared" si="0"/>
        <v>miércoles</v>
      </c>
      <c r="O2" s="26" t="str">
        <f t="shared" si="0"/>
        <v>miércoles</v>
      </c>
    </row>
    <row r="3" spans="1:15" s="4" customFormat="1" ht="18.600000000000001" thickBot="1" x14ac:dyDescent="0.35">
      <c r="A3" s="15" t="s">
        <v>8</v>
      </c>
      <c r="B3" s="21" t="s">
        <v>23</v>
      </c>
      <c r="C3" s="25" cm="1">
        <f t="array" ref="C3:O3">TRANSPOSE(Semanas[Fecha Inicio])</f>
        <v>46197</v>
      </c>
      <c r="D3" s="27">
        <v>46204</v>
      </c>
      <c r="E3" s="27">
        <v>46211</v>
      </c>
      <c r="F3" s="27">
        <v>46218</v>
      </c>
      <c r="G3" s="27">
        <v>46239</v>
      </c>
      <c r="H3" s="27">
        <v>46246</v>
      </c>
      <c r="I3" s="27">
        <v>46253</v>
      </c>
      <c r="J3" s="17">
        <v>46260</v>
      </c>
      <c r="K3" s="18">
        <v>46267</v>
      </c>
      <c r="L3" s="27">
        <v>46274</v>
      </c>
      <c r="M3" s="27">
        <v>46281</v>
      </c>
      <c r="N3" s="27">
        <v>46288</v>
      </c>
      <c r="O3" s="27">
        <v>46295</v>
      </c>
    </row>
    <row r="4" spans="1:15" x14ac:dyDescent="0.3">
      <c r="A4" s="12" cm="1">
        <f t="array" ref="A4:A46">_xlfn._xlws.SORT(Aspirantes[N°])</f>
        <v>1</v>
      </c>
      <c r="B4" s="13" t="str" cm="1">
        <f t="array" ref="B4:B46">_xlfn._xlws.SORT(Aspirantes[aspirante])</f>
        <v>AARON</v>
      </c>
      <c r="C4" s="28" t="str" cm="1">
        <f t="array" ref="C4">_xlfn.XLOOKUP(1,(Asignaciones[N° Asp]=$A4)*(Asignaciones[Semana]=VALUE(SUBSTITUTE(C$1,"Semana ",""))),Asignaciones[Servicio],"")</f>
        <v>UCO</v>
      </c>
      <c r="D4" s="13" t="str" cm="1">
        <f t="array" ref="D4">_xlfn.XLOOKUP(1,(Asignaciones[N° Asp]=$A4)*(Asignaciones[Semana]=VALUE(SUBSTITUTE(D$1,"Semana ",""))),Asignaciones[Servicio],"")</f>
        <v>CLIN HOMBRES SECT A</v>
      </c>
      <c r="E4" s="13" t="str" cm="1">
        <f t="array" ref="E4">_xlfn.XLOOKUP(1,(Asignaciones[N° Asp]=$A4)*(Asignaciones[Semana]=VALUE(SUBSTITUTE(E$1,"Semana ",""))),Asignaciones[Servicio],"")</f>
        <v/>
      </c>
      <c r="F4" s="13" t="str" cm="1">
        <f t="array" ref="F4">_xlfn.XLOOKUP(1,(Asignaciones[N° Asp]=$A4)*(Asignaciones[Semana]=VALUE(SUBSTITUTE(F$1,"Semana ",""))),Asignaciones[Servicio],"")</f>
        <v/>
      </c>
      <c r="G4" s="13" t="str" cm="1">
        <f t="array" ref="G4">_xlfn.XLOOKUP(1,(Asignaciones[N° Asp]=$A4)*(Asignaciones[Semana]=VALUE(SUBSTITUTE(G$1,"Semana ",""))),Asignaciones[Servicio],"")</f>
        <v/>
      </c>
      <c r="H4" s="13" t="str" cm="1">
        <f t="array" ref="H4">_xlfn.XLOOKUP(1,(Asignaciones[N° Asp]=$A4)*(Asignaciones[Semana]=VALUE(SUBSTITUTE(H$1,"Semana ",""))),Asignaciones[Servicio],"")</f>
        <v/>
      </c>
      <c r="I4" s="13" t="str" cm="1">
        <f t="array" ref="I4">_xlfn.XLOOKUP(1,(Asignaciones[N° Asp]=$A4)*(Asignaciones[Semana]=VALUE(SUBSTITUTE(I$1,"Semana ",""))),Asignaciones[Servicio],"")</f>
        <v/>
      </c>
      <c r="J4" s="14" t="str" cm="1">
        <f t="array" ref="J4">_xlfn.XLOOKUP(1,(Asignaciones[N° Asp]=$A4)*(Asignaciones[Semana]=VALUE(SUBSTITUTE(J$1,"Semana ",""))),Asignaciones[Servicio],"")</f>
        <v/>
      </c>
      <c r="K4" s="31" t="str" cm="1">
        <f t="array" ref="K4">_xlfn.XLOOKUP(1,(Asignaciones[N° Asp]=$A4)*(Asignaciones[Semana]=VALUE(SUBSTITUTE(K$1,"Semana ",""))),Asignaciones[Servicio],"")</f>
        <v/>
      </c>
      <c r="L4" s="13" t="str" cm="1">
        <f t="array" ref="L4">_xlfn.XLOOKUP(1,(Asignaciones[N° Asp]=$A4)*(Asignaciones[Semana]=VALUE(SUBSTITUTE(L$1,"Semana ",""))),Asignaciones[Servicio],"")</f>
        <v/>
      </c>
      <c r="M4" s="13" t="str" cm="1">
        <f t="array" ref="M4">_xlfn.XLOOKUP(1,(Asignaciones[N° Asp]=$A4)*(Asignaciones[Semana]=VALUE(SUBSTITUTE(M$1,"Semana ",""))),Asignaciones[Servicio],"")</f>
        <v/>
      </c>
      <c r="N4" s="13" t="str" cm="1">
        <f t="array" ref="N4">_xlfn.XLOOKUP(1,(Asignaciones[N° Asp]=$A4)*(Asignaciones[Semana]=VALUE(SUBSTITUTE(N$1,"Semana ",""))),Asignaciones[Servicio],"")</f>
        <v/>
      </c>
      <c r="O4" s="13" t="str" cm="1">
        <f t="array" ref="O4">_xlfn.XLOOKUP(1,(Asignaciones[N° Asp]=$A4)*(Asignaciones[Semana]=VALUE(SUBSTITUTE(O$1,"Semana ",""))),Asignaciones[Servicio],"")</f>
        <v/>
      </c>
    </row>
    <row r="5" spans="1:15" x14ac:dyDescent="0.3">
      <c r="A5" s="10">
        <v>2</v>
      </c>
      <c r="B5" s="8" t="str">
        <v>AIMARA</v>
      </c>
      <c r="C5" s="29" t="str" cm="1">
        <f t="array" ref="C5">_xlfn.XLOOKUP(1,(Asignaciones[N° Asp]=$A5)*(Asignaciones[Semana]=VALUE(SUBSTITUTE(C$1,"Semana ",""))),Asignaciones[Servicio],"")</f>
        <v/>
      </c>
      <c r="D5" s="8" t="str" cm="1">
        <f t="array" ref="D5">_xlfn.XLOOKUP(1,(Asignaciones[N° Asp]=$A5)*(Asignaciones[Semana]=VALUE(SUBSTITUTE(D$1,"Semana ",""))),Asignaciones[Servicio],"")</f>
        <v/>
      </c>
      <c r="E5" s="8" t="str" cm="1">
        <f t="array" ref="E5">_xlfn.XLOOKUP(1,(Asignaciones[N° Asp]=$A5)*(Asignaciones[Semana]=VALUE(SUBSTITUTE(E$1,"Semana ",""))),Asignaciones[Servicio],"")</f>
        <v>CLIN MUJERES  SECTOR B</v>
      </c>
      <c r="F5" s="8" t="str" cm="1">
        <f t="array" ref="F5">_xlfn.XLOOKUP(1,(Asignaciones[N° Asp]=$A5)*(Asignaciones[Semana]=VALUE(SUBSTITUTE(F$1,"Semana ",""))),Asignaciones[Servicio],"")</f>
        <v/>
      </c>
      <c r="G5" s="8" t="str" cm="1">
        <f t="array" ref="G5">_xlfn.XLOOKUP(1,(Asignaciones[N° Asp]=$A5)*(Asignaciones[Semana]=VALUE(SUBSTITUTE(G$1,"Semana ",""))),Asignaciones[Servicio],"")</f>
        <v/>
      </c>
      <c r="H5" s="8" t="str" cm="1">
        <f t="array" ref="H5">_xlfn.XLOOKUP(1,(Asignaciones[N° Asp]=$A5)*(Asignaciones[Semana]=VALUE(SUBSTITUTE(H$1,"Semana ",""))),Asignaciones[Servicio],"")</f>
        <v/>
      </c>
      <c r="I5" s="8" t="str" cm="1">
        <f t="array" ref="I5">_xlfn.XLOOKUP(1,(Asignaciones[N° Asp]=$A5)*(Asignaciones[Semana]=VALUE(SUBSTITUTE(I$1,"Semana ",""))),Asignaciones[Servicio],"")</f>
        <v/>
      </c>
      <c r="J5" s="5" t="str" cm="1">
        <f t="array" ref="J5">_xlfn.XLOOKUP(1,(Asignaciones[N° Asp]=$A5)*(Asignaciones[Semana]=VALUE(SUBSTITUTE(J$1,"Semana ",""))),Asignaciones[Servicio],"")</f>
        <v/>
      </c>
      <c r="K5" s="6" t="str" cm="1">
        <f t="array" ref="K5">_xlfn.XLOOKUP(1,(Asignaciones[N° Asp]=$A5)*(Asignaciones[Semana]=VALUE(SUBSTITUTE(K$1,"Semana ",""))),Asignaciones[Servicio],"")</f>
        <v/>
      </c>
      <c r="L5" s="8" t="str" cm="1">
        <f t="array" ref="L5">_xlfn.XLOOKUP(1,(Asignaciones[N° Asp]=$A5)*(Asignaciones[Semana]=VALUE(SUBSTITUTE(L$1,"Semana ",""))),Asignaciones[Servicio],"")</f>
        <v/>
      </c>
      <c r="M5" s="8" t="str" cm="1">
        <f t="array" ref="M5">_xlfn.XLOOKUP(1,(Asignaciones[N° Asp]=$A5)*(Asignaciones[Semana]=VALUE(SUBSTITUTE(M$1,"Semana ",""))),Asignaciones[Servicio],"")</f>
        <v/>
      </c>
      <c r="N5" s="8" t="str" cm="1">
        <f t="array" ref="N5">_xlfn.XLOOKUP(1,(Asignaciones[N° Asp]=$A5)*(Asignaciones[Semana]=VALUE(SUBSTITUTE(N$1,"Semana ",""))),Asignaciones[Servicio],"")</f>
        <v/>
      </c>
      <c r="O5" s="8" t="str" cm="1">
        <f t="array" ref="O5">_xlfn.XLOOKUP(1,(Asignaciones[N° Asp]=$A5)*(Asignaciones[Semana]=VALUE(SUBSTITUTE(O$1,"Semana ",""))),Asignaciones[Servicio],"")</f>
        <v/>
      </c>
    </row>
    <row r="6" spans="1:15" x14ac:dyDescent="0.3">
      <c r="A6" s="10">
        <v>3</v>
      </c>
      <c r="B6" s="8" t="str">
        <v>ALBERTO</v>
      </c>
      <c r="C6" s="29" t="str" cm="1">
        <f t="array" ref="C6">_xlfn.XLOOKUP(1,(Asignaciones[N° Asp]=$A6)*(Asignaciones[Semana]=VALUE(SUBSTITUTE(C$1,"Semana ",""))),Asignaciones[Servicio],"")</f>
        <v>UTI</v>
      </c>
      <c r="D6" s="8" t="str" cm="1">
        <f t="array" ref="D6">_xlfn.XLOOKUP(1,(Asignaciones[N° Asp]=$A6)*(Asignaciones[Semana]=VALUE(SUBSTITUTE(D$1,"Semana ",""))),Asignaciones[Servicio],"")</f>
        <v/>
      </c>
      <c r="E6" s="8" t="str" cm="1">
        <f t="array" ref="E6">_xlfn.XLOOKUP(1,(Asignaciones[N° Asp]=$A6)*(Asignaciones[Semana]=VALUE(SUBSTITUTE(E$1,"Semana ",""))),Asignaciones[Servicio],"")</f>
        <v/>
      </c>
      <c r="F6" s="8" t="str" cm="1">
        <f t="array" ref="F6">_xlfn.XLOOKUP(1,(Asignaciones[N° Asp]=$A6)*(Asignaciones[Semana]=VALUE(SUBSTITUTE(F$1,"Semana ",""))),Asignaciones[Servicio],"")</f>
        <v/>
      </c>
      <c r="G6" s="8" t="str" cm="1">
        <f t="array" ref="G6">_xlfn.XLOOKUP(1,(Asignaciones[N° Asp]=$A6)*(Asignaciones[Semana]=VALUE(SUBSTITUTE(G$1,"Semana ",""))),Asignaciones[Servicio],"")</f>
        <v/>
      </c>
      <c r="H6" s="8" t="str" cm="1">
        <f t="array" ref="H6">_xlfn.XLOOKUP(1,(Asignaciones[N° Asp]=$A6)*(Asignaciones[Semana]=VALUE(SUBSTITUTE(H$1,"Semana ",""))),Asignaciones[Servicio],"")</f>
        <v/>
      </c>
      <c r="I6" s="8" t="str" cm="1">
        <f t="array" ref="I6">_xlfn.XLOOKUP(1,(Asignaciones[N° Asp]=$A6)*(Asignaciones[Semana]=VALUE(SUBSTITUTE(I$1,"Semana ",""))),Asignaciones[Servicio],"")</f>
        <v/>
      </c>
      <c r="J6" s="5" t="str" cm="1">
        <f t="array" ref="J6">_xlfn.XLOOKUP(1,(Asignaciones[N° Asp]=$A6)*(Asignaciones[Semana]=VALUE(SUBSTITUTE(J$1,"Semana ",""))),Asignaciones[Servicio],"")</f>
        <v/>
      </c>
      <c r="K6" s="6" t="str" cm="1">
        <f t="array" ref="K6">_xlfn.XLOOKUP(1,(Asignaciones[N° Asp]=$A6)*(Asignaciones[Semana]=VALUE(SUBSTITUTE(K$1,"Semana ",""))),Asignaciones[Servicio],"")</f>
        <v/>
      </c>
      <c r="L6" s="8" t="str" cm="1">
        <f t="array" ref="L6">_xlfn.XLOOKUP(1,(Asignaciones[N° Asp]=$A6)*(Asignaciones[Semana]=VALUE(SUBSTITUTE(L$1,"Semana ",""))),Asignaciones[Servicio],"")</f>
        <v/>
      </c>
      <c r="M6" s="8" t="str" cm="1">
        <f t="array" ref="M6">_xlfn.XLOOKUP(1,(Asignaciones[N° Asp]=$A6)*(Asignaciones[Semana]=VALUE(SUBSTITUTE(M$1,"Semana ",""))),Asignaciones[Servicio],"")</f>
        <v/>
      </c>
      <c r="N6" s="8" t="str" cm="1">
        <f t="array" ref="N6">_xlfn.XLOOKUP(1,(Asignaciones[N° Asp]=$A6)*(Asignaciones[Semana]=VALUE(SUBSTITUTE(N$1,"Semana ",""))),Asignaciones[Servicio],"")</f>
        <v/>
      </c>
      <c r="O6" s="8" t="str" cm="1">
        <f t="array" ref="O6">_xlfn.XLOOKUP(1,(Asignaciones[N° Asp]=$A6)*(Asignaciones[Semana]=VALUE(SUBSTITUTE(O$1,"Semana ",""))),Asignaciones[Servicio],"")</f>
        <v/>
      </c>
    </row>
    <row r="7" spans="1:15" x14ac:dyDescent="0.3">
      <c r="A7" s="10">
        <v>4</v>
      </c>
      <c r="B7" s="8" t="str">
        <v>ANAHÍ</v>
      </c>
      <c r="C7" s="29" t="str" cm="1">
        <f t="array" ref="C7">_xlfn.XLOOKUP(1,(Asignaciones[N° Asp]=$A7)*(Asignaciones[Semana]=VALUE(SUBSTITUTE(C$1,"Semana ",""))),Asignaciones[Servicio],"")</f>
        <v/>
      </c>
      <c r="D7" s="8" t="str" cm="1">
        <f t="array" ref="D7">_xlfn.XLOOKUP(1,(Asignaciones[N° Asp]=$A7)*(Asignaciones[Semana]=VALUE(SUBSTITUTE(D$1,"Semana ",""))),Asignaciones[Servicio],"")</f>
        <v/>
      </c>
      <c r="E7" s="8" t="str" cm="1">
        <f t="array" ref="E7">_xlfn.XLOOKUP(1,(Asignaciones[N° Asp]=$A7)*(Asignaciones[Semana]=VALUE(SUBSTITUTE(E$1,"Semana ",""))),Asignaciones[Servicio],"")</f>
        <v/>
      </c>
      <c r="F7" s="8" t="str" cm="1">
        <f t="array" ref="F7">_xlfn.XLOOKUP(1,(Asignaciones[N° Asp]=$A7)*(Asignaciones[Semana]=VALUE(SUBSTITUTE(F$1,"Semana ",""))),Asignaciones[Servicio],"")</f>
        <v/>
      </c>
      <c r="G7" s="8" t="str" cm="1">
        <f t="array" ref="G7">_xlfn.XLOOKUP(1,(Asignaciones[N° Asp]=$A7)*(Asignaciones[Semana]=VALUE(SUBSTITUTE(G$1,"Semana ",""))),Asignaciones[Servicio],"")</f>
        <v/>
      </c>
      <c r="H7" s="8" t="str" cm="1">
        <f t="array" ref="H7">_xlfn.XLOOKUP(1,(Asignaciones[N° Asp]=$A7)*(Asignaciones[Semana]=VALUE(SUBSTITUTE(H$1,"Semana ",""))),Asignaciones[Servicio],"")</f>
        <v/>
      </c>
      <c r="I7" s="8" t="str" cm="1">
        <f t="array" ref="I7">_xlfn.XLOOKUP(1,(Asignaciones[N° Asp]=$A7)*(Asignaciones[Semana]=VALUE(SUBSTITUTE(I$1,"Semana ",""))),Asignaciones[Servicio],"")</f>
        <v/>
      </c>
      <c r="J7" s="5" t="str" cm="1">
        <f t="array" ref="J7">_xlfn.XLOOKUP(1,(Asignaciones[N° Asp]=$A7)*(Asignaciones[Semana]=VALUE(SUBSTITUTE(J$1,"Semana ",""))),Asignaciones[Servicio],"")</f>
        <v/>
      </c>
      <c r="K7" s="6" t="str" cm="1">
        <f t="array" ref="K7">_xlfn.XLOOKUP(1,(Asignaciones[N° Asp]=$A7)*(Asignaciones[Semana]=VALUE(SUBSTITUTE(K$1,"Semana ",""))),Asignaciones[Servicio],"")</f>
        <v/>
      </c>
      <c r="L7" s="8" t="str" cm="1">
        <f t="array" ref="L7">_xlfn.XLOOKUP(1,(Asignaciones[N° Asp]=$A7)*(Asignaciones[Semana]=VALUE(SUBSTITUTE(L$1,"Semana ",""))),Asignaciones[Servicio],"")</f>
        <v>INTERN CIRUGIA</v>
      </c>
      <c r="M7" s="8" t="str" cm="1">
        <f t="array" ref="M7">_xlfn.XLOOKUP(1,(Asignaciones[N° Asp]=$A7)*(Asignaciones[Semana]=VALUE(SUBSTITUTE(M$1,"Semana ",""))),Asignaciones[Servicio],"")</f>
        <v/>
      </c>
      <c r="N7" s="8" t="str" cm="1">
        <f t="array" ref="N7">_xlfn.XLOOKUP(1,(Asignaciones[N° Asp]=$A7)*(Asignaciones[Semana]=VALUE(SUBSTITUTE(N$1,"Semana ",""))),Asignaciones[Servicio],"")</f>
        <v/>
      </c>
      <c r="O7" s="8" t="str" cm="1">
        <f t="array" ref="O7">_xlfn.XLOOKUP(1,(Asignaciones[N° Asp]=$A7)*(Asignaciones[Semana]=VALUE(SUBSTITUTE(O$1,"Semana ",""))),Asignaciones[Servicio],"")</f>
        <v/>
      </c>
    </row>
    <row r="8" spans="1:15" x14ac:dyDescent="0.3">
      <c r="A8" s="10">
        <v>5</v>
      </c>
      <c r="B8" s="8" t="str">
        <v>AYELEN</v>
      </c>
      <c r="C8" s="29" t="str" cm="1">
        <f t="array" ref="C8">_xlfn.XLOOKUP(1,(Asignaciones[N° Asp]=$A8)*(Asignaciones[Semana]=VALUE(SUBSTITUTE(C$1,"Semana ",""))),Asignaciones[Servicio],"")</f>
        <v/>
      </c>
      <c r="D8" s="8" t="str" cm="1">
        <f t="array" ref="D8">_xlfn.XLOOKUP(1,(Asignaciones[N° Asp]=$A8)*(Asignaciones[Semana]=VALUE(SUBSTITUTE(D$1,"Semana ",""))),Asignaciones[Servicio],"")</f>
        <v/>
      </c>
      <c r="E8" s="8" t="str" cm="1">
        <f t="array" ref="E8">_xlfn.XLOOKUP(1,(Asignaciones[N° Asp]=$A8)*(Asignaciones[Semana]=VALUE(SUBSTITUTE(E$1,"Semana ",""))),Asignaciones[Servicio],"")</f>
        <v/>
      </c>
      <c r="F8" s="8" t="str" cm="1">
        <f t="array" ref="F8">_xlfn.XLOOKUP(1,(Asignaciones[N° Asp]=$A8)*(Asignaciones[Semana]=VALUE(SUBSTITUTE(F$1,"Semana ",""))),Asignaciones[Servicio],"")</f>
        <v/>
      </c>
      <c r="G8" s="8" t="str" cm="1">
        <f t="array" ref="G8">_xlfn.XLOOKUP(1,(Asignaciones[N° Asp]=$A8)*(Asignaciones[Semana]=VALUE(SUBSTITUTE(G$1,"Semana ",""))),Asignaciones[Servicio],"")</f>
        <v/>
      </c>
      <c r="H8" s="8" t="str" cm="1">
        <f t="array" ref="H8">_xlfn.XLOOKUP(1,(Asignaciones[N° Asp]=$A8)*(Asignaciones[Semana]=VALUE(SUBSTITUTE(H$1,"Semana ",""))),Asignaciones[Servicio],"")</f>
        <v/>
      </c>
      <c r="I8" s="8" t="str" cm="1">
        <f t="array" ref="I8">_xlfn.XLOOKUP(1,(Asignaciones[N° Asp]=$A8)*(Asignaciones[Semana]=VALUE(SUBSTITUTE(I$1,"Semana ",""))),Asignaciones[Servicio],"")</f>
        <v/>
      </c>
      <c r="J8" s="5" t="str" cm="1">
        <f t="array" ref="J8">_xlfn.XLOOKUP(1,(Asignaciones[N° Asp]=$A8)*(Asignaciones[Semana]=VALUE(SUBSTITUTE(J$1,"Semana ",""))),Asignaciones[Servicio],"")</f>
        <v/>
      </c>
      <c r="K8" s="6" t="str" cm="1">
        <f t="array" ref="K8">_xlfn.XLOOKUP(1,(Asignaciones[N° Asp]=$A8)*(Asignaciones[Semana]=VALUE(SUBSTITUTE(K$1,"Semana ",""))),Asignaciones[Servicio],"")</f>
        <v/>
      </c>
      <c r="L8" s="8" t="str" cm="1">
        <f t="array" ref="L8">_xlfn.XLOOKUP(1,(Asignaciones[N° Asp]=$A8)*(Asignaciones[Semana]=VALUE(SUBSTITUTE(L$1,"Semana ",""))),Asignaciones[Servicio],"")</f>
        <v/>
      </c>
      <c r="M8" s="8" t="str" cm="1">
        <f t="array" ref="M8">_xlfn.XLOOKUP(1,(Asignaciones[N° Asp]=$A8)*(Asignaciones[Semana]=VALUE(SUBSTITUTE(M$1,"Semana ",""))),Asignaciones[Servicio],"")</f>
        <v/>
      </c>
      <c r="N8" s="8" t="str" cm="1">
        <f t="array" ref="N8">_xlfn.XLOOKUP(1,(Asignaciones[N° Asp]=$A8)*(Asignaciones[Semana]=VALUE(SUBSTITUTE(N$1,"Semana ",""))),Asignaciones[Servicio],"")</f>
        <v/>
      </c>
      <c r="O8" s="8" t="str" cm="1">
        <f t="array" ref="O8">_xlfn.XLOOKUP(1,(Asignaciones[N° Asp]=$A8)*(Asignaciones[Semana]=VALUE(SUBSTITUTE(O$1,"Semana ",""))),Asignaciones[Servicio],"")</f>
        <v/>
      </c>
    </row>
    <row r="9" spans="1:15" x14ac:dyDescent="0.3">
      <c r="A9" s="10">
        <v>6</v>
      </c>
      <c r="B9" s="8" t="str">
        <v>BELEN</v>
      </c>
      <c r="C9" s="29" t="str" cm="1">
        <f t="array" ref="C9">_xlfn.XLOOKUP(1,(Asignaciones[N° Asp]=$A9)*(Asignaciones[Semana]=VALUE(SUBSTITUTE(C$1,"Semana ",""))),Asignaciones[Servicio],"")</f>
        <v/>
      </c>
      <c r="D9" s="8" t="str" cm="1">
        <f t="array" ref="D9">_xlfn.XLOOKUP(1,(Asignaciones[N° Asp]=$A9)*(Asignaciones[Semana]=VALUE(SUBSTITUTE(D$1,"Semana ",""))),Asignaciones[Servicio],"")</f>
        <v/>
      </c>
      <c r="E9" s="8" t="str" cm="1">
        <f t="array" ref="E9">_xlfn.XLOOKUP(1,(Asignaciones[N° Asp]=$A9)*(Asignaciones[Semana]=VALUE(SUBSTITUTE(E$1,"Semana ",""))),Asignaciones[Servicio],"")</f>
        <v/>
      </c>
      <c r="F9" s="8" t="str" cm="1">
        <f t="array" ref="F9">_xlfn.XLOOKUP(1,(Asignaciones[N° Asp]=$A9)*(Asignaciones[Semana]=VALUE(SUBSTITUTE(F$1,"Semana ",""))),Asignaciones[Servicio],"")</f>
        <v>INTERN CIRUGIA</v>
      </c>
      <c r="G9" s="8" t="str" cm="1">
        <f t="array" ref="G9">_xlfn.XLOOKUP(1,(Asignaciones[N° Asp]=$A9)*(Asignaciones[Semana]=VALUE(SUBSTITUTE(G$1,"Semana ",""))),Asignaciones[Servicio],"")</f>
        <v/>
      </c>
      <c r="H9" s="8" t="str" cm="1">
        <f t="array" ref="H9">_xlfn.XLOOKUP(1,(Asignaciones[N° Asp]=$A9)*(Asignaciones[Semana]=VALUE(SUBSTITUTE(H$1,"Semana ",""))),Asignaciones[Servicio],"")</f>
        <v/>
      </c>
      <c r="I9" s="8" t="str" cm="1">
        <f t="array" ref="I9">_xlfn.XLOOKUP(1,(Asignaciones[N° Asp]=$A9)*(Asignaciones[Semana]=VALUE(SUBSTITUTE(I$1,"Semana ",""))),Asignaciones[Servicio],"")</f>
        <v/>
      </c>
      <c r="J9" s="5" t="str" cm="1">
        <f t="array" ref="J9">_xlfn.XLOOKUP(1,(Asignaciones[N° Asp]=$A9)*(Asignaciones[Semana]=VALUE(SUBSTITUTE(J$1,"Semana ",""))),Asignaciones[Servicio],"")</f>
        <v/>
      </c>
      <c r="K9" s="6" t="str" cm="1">
        <f t="array" ref="K9">_xlfn.XLOOKUP(1,(Asignaciones[N° Asp]=$A9)*(Asignaciones[Semana]=VALUE(SUBSTITUTE(K$1,"Semana ",""))),Asignaciones[Servicio],"")</f>
        <v/>
      </c>
      <c r="L9" s="8" t="str" cm="1">
        <f t="array" ref="L9">_xlfn.XLOOKUP(1,(Asignaciones[N° Asp]=$A9)*(Asignaciones[Semana]=VALUE(SUBSTITUTE(L$1,"Semana ",""))),Asignaciones[Servicio],"")</f>
        <v/>
      </c>
      <c r="M9" s="8" t="str" cm="1">
        <f t="array" ref="M9">_xlfn.XLOOKUP(1,(Asignaciones[N° Asp]=$A9)*(Asignaciones[Semana]=VALUE(SUBSTITUTE(M$1,"Semana ",""))),Asignaciones[Servicio],"")</f>
        <v/>
      </c>
      <c r="N9" s="8" t="str" cm="1">
        <f t="array" ref="N9">_xlfn.XLOOKUP(1,(Asignaciones[N° Asp]=$A9)*(Asignaciones[Semana]=VALUE(SUBSTITUTE(N$1,"Semana ",""))),Asignaciones[Servicio],"")</f>
        <v/>
      </c>
      <c r="O9" s="8" t="str" cm="1">
        <f t="array" ref="O9">_xlfn.XLOOKUP(1,(Asignaciones[N° Asp]=$A9)*(Asignaciones[Semana]=VALUE(SUBSTITUTE(O$1,"Semana ",""))),Asignaciones[Servicio],"")</f>
        <v/>
      </c>
    </row>
    <row r="10" spans="1:15" x14ac:dyDescent="0.3">
      <c r="A10" s="10">
        <v>7</v>
      </c>
      <c r="B10" s="8" t="str">
        <v>CARLA</v>
      </c>
      <c r="C10" s="29" t="str" cm="1">
        <f t="array" ref="C10">_xlfn.XLOOKUP(1,(Asignaciones[N° Asp]=$A10)*(Asignaciones[Semana]=VALUE(SUBSTITUTE(C$1,"Semana ",""))),Asignaciones[Servicio],"")</f>
        <v/>
      </c>
      <c r="D10" s="8" t="str" cm="1">
        <f t="array" ref="D10">_xlfn.XLOOKUP(1,(Asignaciones[N° Asp]=$A10)*(Asignaciones[Semana]=VALUE(SUBSTITUTE(D$1,"Semana ",""))),Asignaciones[Servicio],"")</f>
        <v/>
      </c>
      <c r="E10" s="8" t="str" cm="1">
        <f t="array" ref="E10">_xlfn.XLOOKUP(1,(Asignaciones[N° Asp]=$A10)*(Asignaciones[Semana]=VALUE(SUBSTITUTE(E$1,"Semana ",""))),Asignaciones[Servicio],"")</f>
        <v/>
      </c>
      <c r="F10" s="8" t="str" cm="1">
        <f t="array" ref="F10">_xlfn.XLOOKUP(1,(Asignaciones[N° Asp]=$A10)*(Asignaciones[Semana]=VALUE(SUBSTITUTE(F$1,"Semana ",""))),Asignaciones[Servicio],"")</f>
        <v/>
      </c>
      <c r="G10" s="8" t="str" cm="1">
        <f t="array" ref="G10">_xlfn.XLOOKUP(1,(Asignaciones[N° Asp]=$A10)*(Asignaciones[Semana]=VALUE(SUBSTITUTE(G$1,"Semana ",""))),Asignaciones[Servicio],"")</f>
        <v/>
      </c>
      <c r="H10" s="8" t="str" cm="1">
        <f t="array" ref="H10">_xlfn.XLOOKUP(1,(Asignaciones[N° Asp]=$A10)*(Asignaciones[Semana]=VALUE(SUBSTITUTE(H$1,"Semana ",""))),Asignaciones[Servicio],"")</f>
        <v/>
      </c>
      <c r="I10" s="8" t="str" cm="1">
        <f t="array" ref="I10">_xlfn.XLOOKUP(1,(Asignaciones[N° Asp]=$A10)*(Asignaciones[Semana]=VALUE(SUBSTITUTE(I$1,"Semana ",""))),Asignaciones[Servicio],"")</f>
        <v/>
      </c>
      <c r="J10" s="5" t="str" cm="1">
        <f t="array" ref="J10">_xlfn.XLOOKUP(1,(Asignaciones[N° Asp]=$A10)*(Asignaciones[Semana]=VALUE(SUBSTITUTE(J$1,"Semana ",""))),Asignaciones[Servicio],"")</f>
        <v/>
      </c>
      <c r="K10" s="6" t="str" cm="1">
        <f t="array" ref="K10">_xlfn.XLOOKUP(1,(Asignaciones[N° Asp]=$A10)*(Asignaciones[Semana]=VALUE(SUBSTITUTE(K$1,"Semana ",""))),Asignaciones[Servicio],"")</f>
        <v/>
      </c>
      <c r="L10" s="8" t="str" cm="1">
        <f t="array" ref="L10">_xlfn.XLOOKUP(1,(Asignaciones[N° Asp]=$A10)*(Asignaciones[Semana]=VALUE(SUBSTITUTE(L$1,"Semana ",""))),Asignaciones[Servicio],"")</f>
        <v/>
      </c>
      <c r="M10" s="8" t="str" cm="1">
        <f t="array" ref="M10">_xlfn.XLOOKUP(1,(Asignaciones[N° Asp]=$A10)*(Asignaciones[Semana]=VALUE(SUBSTITUTE(M$1,"Semana ",""))),Asignaciones[Servicio],"")</f>
        <v/>
      </c>
      <c r="N10" s="8" t="str" cm="1">
        <f t="array" ref="N10">_xlfn.XLOOKUP(1,(Asignaciones[N° Asp]=$A10)*(Asignaciones[Semana]=VALUE(SUBSTITUTE(N$1,"Semana ",""))),Asignaciones[Servicio],"")</f>
        <v/>
      </c>
      <c r="O10" s="8" t="str" cm="1">
        <f t="array" ref="O10">_xlfn.XLOOKUP(1,(Asignaciones[N° Asp]=$A10)*(Asignaciones[Semana]=VALUE(SUBSTITUTE(O$1,"Semana ",""))),Asignaciones[Servicio],"")</f>
        <v/>
      </c>
    </row>
    <row r="11" spans="1:15" x14ac:dyDescent="0.3">
      <c r="A11" s="10">
        <v>8</v>
      </c>
      <c r="B11" s="8" t="str">
        <v>CELESTE</v>
      </c>
      <c r="C11" s="29" t="str" cm="1">
        <f t="array" ref="C11">_xlfn.XLOOKUP(1,(Asignaciones[N° Asp]=$A11)*(Asignaciones[Semana]=VALUE(SUBSTITUTE(C$1,"Semana ",""))),Asignaciones[Servicio],"")</f>
        <v/>
      </c>
      <c r="D11" s="8" t="str" cm="1">
        <f t="array" ref="D11">_xlfn.XLOOKUP(1,(Asignaciones[N° Asp]=$A11)*(Asignaciones[Semana]=VALUE(SUBSTITUTE(D$1,"Semana ",""))),Asignaciones[Servicio],"")</f>
        <v/>
      </c>
      <c r="E11" s="8" t="str" cm="1">
        <f t="array" ref="E11">_xlfn.XLOOKUP(1,(Asignaciones[N° Asp]=$A11)*(Asignaciones[Semana]=VALUE(SUBSTITUTE(E$1,"Semana ",""))),Asignaciones[Servicio],"")</f>
        <v/>
      </c>
      <c r="F11" s="8" t="str" cm="1">
        <f t="array" ref="F11">_xlfn.XLOOKUP(1,(Asignaciones[N° Asp]=$A11)*(Asignaciones[Semana]=VALUE(SUBSTITUTE(F$1,"Semana ",""))),Asignaciones[Servicio],"")</f>
        <v/>
      </c>
      <c r="G11" s="8" t="str" cm="1">
        <f t="array" ref="G11">_xlfn.XLOOKUP(1,(Asignaciones[N° Asp]=$A11)*(Asignaciones[Semana]=VALUE(SUBSTITUTE(G$1,"Semana ",""))),Asignaciones[Servicio],"")</f>
        <v/>
      </c>
      <c r="H11" s="8" t="str" cm="1">
        <f t="array" ref="H11">_xlfn.XLOOKUP(1,(Asignaciones[N° Asp]=$A11)*(Asignaciones[Semana]=VALUE(SUBSTITUTE(H$1,"Semana ",""))),Asignaciones[Servicio],"")</f>
        <v/>
      </c>
      <c r="I11" s="8" t="str" cm="1">
        <f t="array" ref="I11">_xlfn.XLOOKUP(1,(Asignaciones[N° Asp]=$A11)*(Asignaciones[Semana]=VALUE(SUBSTITUTE(I$1,"Semana ",""))),Asignaciones[Servicio],"")</f>
        <v/>
      </c>
      <c r="J11" s="5" t="str" cm="1">
        <f t="array" ref="J11">_xlfn.XLOOKUP(1,(Asignaciones[N° Asp]=$A11)*(Asignaciones[Semana]=VALUE(SUBSTITUTE(J$1,"Semana ",""))),Asignaciones[Servicio],"")</f>
        <v/>
      </c>
      <c r="K11" s="6" t="str" cm="1">
        <f t="array" ref="K11">_xlfn.XLOOKUP(1,(Asignaciones[N° Asp]=$A11)*(Asignaciones[Semana]=VALUE(SUBSTITUTE(K$1,"Semana ",""))),Asignaciones[Servicio],"")</f>
        <v/>
      </c>
      <c r="L11" s="8" t="str" cm="1">
        <f t="array" ref="L11">_xlfn.XLOOKUP(1,(Asignaciones[N° Asp]=$A11)*(Asignaciones[Semana]=VALUE(SUBSTITUTE(L$1,"Semana ",""))),Asignaciones[Servicio],"")</f>
        <v/>
      </c>
      <c r="M11" s="8" t="str" cm="1">
        <f t="array" ref="M11">_xlfn.XLOOKUP(1,(Asignaciones[N° Asp]=$A11)*(Asignaciones[Semana]=VALUE(SUBSTITUTE(M$1,"Semana ",""))),Asignaciones[Servicio],"")</f>
        <v/>
      </c>
      <c r="N11" s="8" t="str" cm="1">
        <f t="array" ref="N11">_xlfn.XLOOKUP(1,(Asignaciones[N° Asp]=$A11)*(Asignaciones[Semana]=VALUE(SUBSTITUTE(N$1,"Semana ",""))),Asignaciones[Servicio],"")</f>
        <v/>
      </c>
      <c r="O11" s="8" t="str" cm="1">
        <f t="array" ref="O11">_xlfn.XLOOKUP(1,(Asignaciones[N° Asp]=$A11)*(Asignaciones[Semana]=VALUE(SUBSTITUTE(O$1,"Semana ",""))),Asignaciones[Servicio],"")</f>
        <v/>
      </c>
    </row>
    <row r="12" spans="1:15" x14ac:dyDescent="0.3">
      <c r="A12" s="10">
        <v>9</v>
      </c>
      <c r="B12" s="8" t="str">
        <v>CELESTE</v>
      </c>
      <c r="C12" s="29" t="str" cm="1">
        <f t="array" ref="C12">_xlfn.XLOOKUP(1,(Asignaciones[N° Asp]=$A12)*(Asignaciones[Semana]=VALUE(SUBSTITUTE(C$1,"Semana ",""))),Asignaciones[Servicio],"")</f>
        <v/>
      </c>
      <c r="D12" s="8" t="str" cm="1">
        <f t="array" ref="D12">_xlfn.XLOOKUP(1,(Asignaciones[N° Asp]=$A12)*(Asignaciones[Semana]=VALUE(SUBSTITUTE(D$1,"Semana ",""))),Asignaciones[Servicio],"")</f>
        <v/>
      </c>
      <c r="E12" s="8" t="str" cm="1">
        <f t="array" ref="E12">_xlfn.XLOOKUP(1,(Asignaciones[N° Asp]=$A12)*(Asignaciones[Semana]=VALUE(SUBSTITUTE(E$1,"Semana ",""))),Asignaciones[Servicio],"")</f>
        <v/>
      </c>
      <c r="F12" s="8" t="str" cm="1">
        <f t="array" ref="F12">_xlfn.XLOOKUP(1,(Asignaciones[N° Asp]=$A12)*(Asignaciones[Semana]=VALUE(SUBSTITUTE(F$1,"Semana ",""))),Asignaciones[Servicio],"")</f>
        <v/>
      </c>
      <c r="G12" s="8" t="str" cm="1">
        <f t="array" ref="G12">_xlfn.XLOOKUP(1,(Asignaciones[N° Asp]=$A12)*(Asignaciones[Semana]=VALUE(SUBSTITUTE(G$1,"Semana ",""))),Asignaciones[Servicio],"")</f>
        <v/>
      </c>
      <c r="H12" s="8" t="str" cm="1">
        <f t="array" ref="H12">_xlfn.XLOOKUP(1,(Asignaciones[N° Asp]=$A12)*(Asignaciones[Semana]=VALUE(SUBSTITUTE(H$1,"Semana ",""))),Asignaciones[Servicio],"")</f>
        <v/>
      </c>
      <c r="I12" s="8" t="str" cm="1">
        <f t="array" ref="I12">_xlfn.XLOOKUP(1,(Asignaciones[N° Asp]=$A12)*(Asignaciones[Semana]=VALUE(SUBSTITUTE(I$1,"Semana ",""))),Asignaciones[Servicio],"")</f>
        <v/>
      </c>
      <c r="J12" s="5" t="str" cm="1">
        <f t="array" ref="J12">_xlfn.XLOOKUP(1,(Asignaciones[N° Asp]=$A12)*(Asignaciones[Semana]=VALUE(SUBSTITUTE(J$1,"Semana ",""))),Asignaciones[Servicio],"")</f>
        <v/>
      </c>
      <c r="K12" s="6" t="str" cm="1">
        <f t="array" ref="K12">_xlfn.XLOOKUP(1,(Asignaciones[N° Asp]=$A12)*(Asignaciones[Semana]=VALUE(SUBSTITUTE(K$1,"Semana ",""))),Asignaciones[Servicio],"")</f>
        <v/>
      </c>
      <c r="L12" s="8" t="str" cm="1">
        <f t="array" ref="L12">_xlfn.XLOOKUP(1,(Asignaciones[N° Asp]=$A12)*(Asignaciones[Semana]=VALUE(SUBSTITUTE(L$1,"Semana ",""))),Asignaciones[Servicio],"")</f>
        <v/>
      </c>
      <c r="M12" s="8" t="str" cm="1">
        <f t="array" ref="M12">_xlfn.XLOOKUP(1,(Asignaciones[N° Asp]=$A12)*(Asignaciones[Semana]=VALUE(SUBSTITUTE(M$1,"Semana ",""))),Asignaciones[Servicio],"")</f>
        <v/>
      </c>
      <c r="N12" s="8" t="str" cm="1">
        <f t="array" ref="N12">_xlfn.XLOOKUP(1,(Asignaciones[N° Asp]=$A12)*(Asignaciones[Semana]=VALUE(SUBSTITUTE(N$1,"Semana ",""))),Asignaciones[Servicio],"")</f>
        <v/>
      </c>
      <c r="O12" s="8" t="str" cm="1">
        <f t="array" ref="O12">_xlfn.XLOOKUP(1,(Asignaciones[N° Asp]=$A12)*(Asignaciones[Semana]=VALUE(SUBSTITUTE(O$1,"Semana ",""))),Asignaciones[Servicio],"")</f>
        <v/>
      </c>
    </row>
    <row r="13" spans="1:15" x14ac:dyDescent="0.3">
      <c r="A13" s="10">
        <v>10</v>
      </c>
      <c r="B13" s="8" t="str">
        <v>DAINA</v>
      </c>
      <c r="C13" s="29" t="str" cm="1">
        <f t="array" ref="C13">_xlfn.XLOOKUP(1,(Asignaciones[N° Asp]=$A13)*(Asignaciones[Semana]=VALUE(SUBSTITUTE(C$1,"Semana ",""))),Asignaciones[Servicio],"")</f>
        <v/>
      </c>
      <c r="D13" s="8" t="str" cm="1">
        <f t="array" ref="D13">_xlfn.XLOOKUP(1,(Asignaciones[N° Asp]=$A13)*(Asignaciones[Semana]=VALUE(SUBSTITUTE(D$1,"Semana ",""))),Asignaciones[Servicio],"")</f>
        <v/>
      </c>
      <c r="E13" s="8" t="str" cm="1">
        <f t="array" ref="E13">_xlfn.XLOOKUP(1,(Asignaciones[N° Asp]=$A13)*(Asignaciones[Semana]=VALUE(SUBSTITUTE(E$1,"Semana ",""))),Asignaciones[Servicio],"")</f>
        <v/>
      </c>
      <c r="F13" s="8" t="str" cm="1">
        <f t="array" ref="F13">_xlfn.XLOOKUP(1,(Asignaciones[N° Asp]=$A13)*(Asignaciones[Semana]=VALUE(SUBSTITUTE(F$1,"Semana ",""))),Asignaciones[Servicio],"")</f>
        <v/>
      </c>
      <c r="G13" s="8" t="str" cm="1">
        <f t="array" ref="G13">_xlfn.XLOOKUP(1,(Asignaciones[N° Asp]=$A13)*(Asignaciones[Semana]=VALUE(SUBSTITUTE(G$1,"Semana ",""))),Asignaciones[Servicio],"")</f>
        <v/>
      </c>
      <c r="H13" s="8" t="str" cm="1">
        <f t="array" ref="H13">_xlfn.XLOOKUP(1,(Asignaciones[N° Asp]=$A13)*(Asignaciones[Semana]=VALUE(SUBSTITUTE(H$1,"Semana ",""))),Asignaciones[Servicio],"")</f>
        <v/>
      </c>
      <c r="I13" s="8" t="str" cm="1">
        <f t="array" ref="I13">_xlfn.XLOOKUP(1,(Asignaciones[N° Asp]=$A13)*(Asignaciones[Semana]=VALUE(SUBSTITUTE(I$1,"Semana ",""))),Asignaciones[Servicio],"")</f>
        <v/>
      </c>
      <c r="J13" s="5" t="str" cm="1">
        <f t="array" ref="J13">_xlfn.XLOOKUP(1,(Asignaciones[N° Asp]=$A13)*(Asignaciones[Semana]=VALUE(SUBSTITUTE(J$1,"Semana ",""))),Asignaciones[Servicio],"")</f>
        <v/>
      </c>
      <c r="K13" s="6" t="str" cm="1">
        <f t="array" ref="K13">_xlfn.XLOOKUP(1,(Asignaciones[N° Asp]=$A13)*(Asignaciones[Semana]=VALUE(SUBSTITUTE(K$1,"Semana ",""))),Asignaciones[Servicio],"")</f>
        <v/>
      </c>
      <c r="L13" s="8" t="str" cm="1">
        <f t="array" ref="L13">_xlfn.XLOOKUP(1,(Asignaciones[N° Asp]=$A13)*(Asignaciones[Semana]=VALUE(SUBSTITUTE(L$1,"Semana ",""))),Asignaciones[Servicio],"")</f>
        <v/>
      </c>
      <c r="M13" s="8" t="str" cm="1">
        <f t="array" ref="M13">_xlfn.XLOOKUP(1,(Asignaciones[N° Asp]=$A13)*(Asignaciones[Semana]=VALUE(SUBSTITUTE(M$1,"Semana ",""))),Asignaciones[Servicio],"")</f>
        <v/>
      </c>
      <c r="N13" s="8" t="str" cm="1">
        <f t="array" ref="N13">_xlfn.XLOOKUP(1,(Asignaciones[N° Asp]=$A13)*(Asignaciones[Semana]=VALUE(SUBSTITUTE(N$1,"Semana ",""))),Asignaciones[Servicio],"")</f>
        <v/>
      </c>
      <c r="O13" s="8" t="str" cm="1">
        <f t="array" ref="O13">_xlfn.XLOOKUP(1,(Asignaciones[N° Asp]=$A13)*(Asignaciones[Semana]=VALUE(SUBSTITUTE(O$1,"Semana ",""))),Asignaciones[Servicio],"")</f>
        <v/>
      </c>
    </row>
    <row r="14" spans="1:15" x14ac:dyDescent="0.3">
      <c r="A14" s="10">
        <v>11</v>
      </c>
      <c r="B14" s="8" t="str">
        <v>DANIELA</v>
      </c>
      <c r="C14" s="29" t="str" cm="1">
        <f t="array" ref="C14">_xlfn.XLOOKUP(1,(Asignaciones[N° Asp]=$A14)*(Asignaciones[Semana]=VALUE(SUBSTITUTE(C$1,"Semana ",""))),Asignaciones[Servicio],"")</f>
        <v/>
      </c>
      <c r="D14" s="8" t="str" cm="1">
        <f t="array" ref="D14">_xlfn.XLOOKUP(1,(Asignaciones[N° Asp]=$A14)*(Asignaciones[Semana]=VALUE(SUBSTITUTE(D$1,"Semana ",""))),Asignaciones[Servicio],"")</f>
        <v/>
      </c>
      <c r="E14" s="8" t="str" cm="1">
        <f t="array" ref="E14">_xlfn.XLOOKUP(1,(Asignaciones[N° Asp]=$A14)*(Asignaciones[Semana]=VALUE(SUBSTITUTE(E$1,"Semana ",""))),Asignaciones[Servicio],"")</f>
        <v/>
      </c>
      <c r="F14" s="8" t="str" cm="1">
        <f t="array" ref="F14">_xlfn.XLOOKUP(1,(Asignaciones[N° Asp]=$A14)*(Asignaciones[Semana]=VALUE(SUBSTITUTE(F$1,"Semana ",""))),Asignaciones[Servicio],"")</f>
        <v/>
      </c>
      <c r="G14" s="8" t="str" cm="1">
        <f t="array" ref="G14">_xlfn.XLOOKUP(1,(Asignaciones[N° Asp]=$A14)*(Asignaciones[Semana]=VALUE(SUBSTITUTE(G$1,"Semana ",""))),Asignaciones[Servicio],"")</f>
        <v/>
      </c>
      <c r="H14" s="8" t="str" cm="1">
        <f t="array" ref="H14">_xlfn.XLOOKUP(1,(Asignaciones[N° Asp]=$A14)*(Asignaciones[Semana]=VALUE(SUBSTITUTE(H$1,"Semana ",""))),Asignaciones[Servicio],"")</f>
        <v/>
      </c>
      <c r="I14" s="8" t="str" cm="1">
        <f t="array" ref="I14">_xlfn.XLOOKUP(1,(Asignaciones[N° Asp]=$A14)*(Asignaciones[Semana]=VALUE(SUBSTITUTE(I$1,"Semana ",""))),Asignaciones[Servicio],"")</f>
        <v/>
      </c>
      <c r="J14" s="5" t="str" cm="1">
        <f t="array" ref="J14">_xlfn.XLOOKUP(1,(Asignaciones[N° Asp]=$A14)*(Asignaciones[Semana]=VALUE(SUBSTITUTE(J$1,"Semana ",""))),Asignaciones[Servicio],"")</f>
        <v/>
      </c>
      <c r="K14" s="6" t="str" cm="1">
        <f t="array" ref="K14">_xlfn.XLOOKUP(1,(Asignaciones[N° Asp]=$A14)*(Asignaciones[Semana]=VALUE(SUBSTITUTE(K$1,"Semana ",""))),Asignaciones[Servicio],"")</f>
        <v/>
      </c>
      <c r="L14" s="8" t="str" cm="1">
        <f t="array" ref="L14">_xlfn.XLOOKUP(1,(Asignaciones[N° Asp]=$A14)*(Asignaciones[Semana]=VALUE(SUBSTITUTE(L$1,"Semana ",""))),Asignaciones[Servicio],"")</f>
        <v/>
      </c>
      <c r="M14" s="8" t="str" cm="1">
        <f t="array" ref="M14">_xlfn.XLOOKUP(1,(Asignaciones[N° Asp]=$A14)*(Asignaciones[Semana]=VALUE(SUBSTITUTE(M$1,"Semana ",""))),Asignaciones[Servicio],"")</f>
        <v/>
      </c>
      <c r="N14" s="8" t="str" cm="1">
        <f t="array" ref="N14">_xlfn.XLOOKUP(1,(Asignaciones[N° Asp]=$A14)*(Asignaciones[Semana]=VALUE(SUBSTITUTE(N$1,"Semana ",""))),Asignaciones[Servicio],"")</f>
        <v/>
      </c>
      <c r="O14" s="8" t="str" cm="1">
        <f t="array" ref="O14">_xlfn.XLOOKUP(1,(Asignaciones[N° Asp]=$A14)*(Asignaciones[Semana]=VALUE(SUBSTITUTE(O$1,"Semana ",""))),Asignaciones[Servicio],"")</f>
        <v/>
      </c>
    </row>
    <row r="15" spans="1:15" x14ac:dyDescent="0.3">
      <c r="A15" s="10">
        <v>12</v>
      </c>
      <c r="B15" s="8" t="str">
        <v>ELIANA</v>
      </c>
      <c r="C15" s="29" t="str" cm="1">
        <f t="array" ref="C15">_xlfn.XLOOKUP(1,(Asignaciones[N° Asp]=$A15)*(Asignaciones[Semana]=VALUE(SUBSTITUTE(C$1,"Semana ",""))),Asignaciones[Servicio],"")</f>
        <v/>
      </c>
      <c r="D15" s="8" t="str" cm="1">
        <f t="array" ref="D15">_xlfn.XLOOKUP(1,(Asignaciones[N° Asp]=$A15)*(Asignaciones[Semana]=VALUE(SUBSTITUTE(D$1,"Semana ",""))),Asignaciones[Servicio],"")</f>
        <v/>
      </c>
      <c r="E15" s="8" t="str" cm="1">
        <f t="array" ref="E15">_xlfn.XLOOKUP(1,(Asignaciones[N° Asp]=$A15)*(Asignaciones[Semana]=VALUE(SUBSTITUTE(E$1,"Semana ",""))),Asignaciones[Servicio],"")</f>
        <v/>
      </c>
      <c r="F15" s="8" t="str" cm="1">
        <f t="array" ref="F15">_xlfn.XLOOKUP(1,(Asignaciones[N° Asp]=$A15)*(Asignaciones[Semana]=VALUE(SUBSTITUTE(F$1,"Semana ",""))),Asignaciones[Servicio],"")</f>
        <v>INTERN CIRUGIA</v>
      </c>
      <c r="G15" s="8" t="str" cm="1">
        <f t="array" ref="G15">_xlfn.XLOOKUP(1,(Asignaciones[N° Asp]=$A15)*(Asignaciones[Semana]=VALUE(SUBSTITUTE(G$1,"Semana ",""))),Asignaciones[Servicio],"")</f>
        <v/>
      </c>
      <c r="H15" s="8" t="str" cm="1">
        <f t="array" ref="H15">_xlfn.XLOOKUP(1,(Asignaciones[N° Asp]=$A15)*(Asignaciones[Semana]=VALUE(SUBSTITUTE(H$1,"Semana ",""))),Asignaciones[Servicio],"")</f>
        <v/>
      </c>
      <c r="I15" s="8" t="str" cm="1">
        <f t="array" ref="I15">_xlfn.XLOOKUP(1,(Asignaciones[N° Asp]=$A15)*(Asignaciones[Semana]=VALUE(SUBSTITUTE(I$1,"Semana ",""))),Asignaciones[Servicio],"")</f>
        <v/>
      </c>
      <c r="J15" s="5" t="str" cm="1">
        <f t="array" ref="J15">_xlfn.XLOOKUP(1,(Asignaciones[N° Asp]=$A15)*(Asignaciones[Semana]=VALUE(SUBSTITUTE(J$1,"Semana ",""))),Asignaciones[Servicio],"")</f>
        <v/>
      </c>
      <c r="K15" s="6" t="str" cm="1">
        <f t="array" ref="K15">_xlfn.XLOOKUP(1,(Asignaciones[N° Asp]=$A15)*(Asignaciones[Semana]=VALUE(SUBSTITUTE(K$1,"Semana ",""))),Asignaciones[Servicio],"")</f>
        <v/>
      </c>
      <c r="L15" s="8" t="str" cm="1">
        <f t="array" ref="L15">_xlfn.XLOOKUP(1,(Asignaciones[N° Asp]=$A15)*(Asignaciones[Semana]=VALUE(SUBSTITUTE(L$1,"Semana ",""))),Asignaciones[Servicio],"")</f>
        <v/>
      </c>
      <c r="M15" s="8" t="str" cm="1">
        <f t="array" ref="M15">_xlfn.XLOOKUP(1,(Asignaciones[N° Asp]=$A15)*(Asignaciones[Semana]=VALUE(SUBSTITUTE(M$1,"Semana ",""))),Asignaciones[Servicio],"")</f>
        <v/>
      </c>
      <c r="N15" s="8" t="str" cm="1">
        <f t="array" ref="N15">_xlfn.XLOOKUP(1,(Asignaciones[N° Asp]=$A15)*(Asignaciones[Semana]=VALUE(SUBSTITUTE(N$1,"Semana ",""))),Asignaciones[Servicio],"")</f>
        <v/>
      </c>
      <c r="O15" s="8" t="str" cm="1">
        <f t="array" ref="O15">_xlfn.XLOOKUP(1,(Asignaciones[N° Asp]=$A15)*(Asignaciones[Semana]=VALUE(SUBSTITUTE(O$1,"Semana ",""))),Asignaciones[Servicio],"")</f>
        <v/>
      </c>
    </row>
    <row r="16" spans="1:15" x14ac:dyDescent="0.3">
      <c r="A16" s="10">
        <v>13</v>
      </c>
      <c r="B16" s="8" t="str">
        <v>ELIZABETH</v>
      </c>
      <c r="C16" s="29" t="str" cm="1">
        <f t="array" ref="C16">_xlfn.XLOOKUP(1,(Asignaciones[N° Asp]=$A16)*(Asignaciones[Semana]=VALUE(SUBSTITUTE(C$1,"Semana ",""))),Asignaciones[Servicio],"")</f>
        <v/>
      </c>
      <c r="D16" s="8" t="str" cm="1">
        <f t="array" ref="D16">_xlfn.XLOOKUP(1,(Asignaciones[N° Asp]=$A16)*(Asignaciones[Semana]=VALUE(SUBSTITUTE(D$1,"Semana ",""))),Asignaciones[Servicio],"")</f>
        <v/>
      </c>
      <c r="E16" s="8" t="str" cm="1">
        <f t="array" ref="E16">_xlfn.XLOOKUP(1,(Asignaciones[N° Asp]=$A16)*(Asignaciones[Semana]=VALUE(SUBSTITUTE(E$1,"Semana ",""))),Asignaciones[Servicio],"")</f>
        <v/>
      </c>
      <c r="F16" s="8" t="str" cm="1">
        <f t="array" ref="F16">_xlfn.XLOOKUP(1,(Asignaciones[N° Asp]=$A16)*(Asignaciones[Semana]=VALUE(SUBSTITUTE(F$1,"Semana ",""))),Asignaciones[Servicio],"")</f>
        <v/>
      </c>
      <c r="G16" s="8" t="str" cm="1">
        <f t="array" ref="G16">_xlfn.XLOOKUP(1,(Asignaciones[N° Asp]=$A16)*(Asignaciones[Semana]=VALUE(SUBSTITUTE(G$1,"Semana ",""))),Asignaciones[Servicio],"")</f>
        <v/>
      </c>
      <c r="H16" s="8" t="str" cm="1">
        <f t="array" ref="H16">_xlfn.XLOOKUP(1,(Asignaciones[N° Asp]=$A16)*(Asignaciones[Semana]=VALUE(SUBSTITUTE(H$1,"Semana ",""))),Asignaciones[Servicio],"")</f>
        <v/>
      </c>
      <c r="I16" s="8" t="str" cm="1">
        <f t="array" ref="I16">_xlfn.XLOOKUP(1,(Asignaciones[N° Asp]=$A16)*(Asignaciones[Semana]=VALUE(SUBSTITUTE(I$1,"Semana ",""))),Asignaciones[Servicio],"")</f>
        <v/>
      </c>
      <c r="J16" s="5" t="str" cm="1">
        <f t="array" ref="J16">_xlfn.XLOOKUP(1,(Asignaciones[N° Asp]=$A16)*(Asignaciones[Semana]=VALUE(SUBSTITUTE(J$1,"Semana ",""))),Asignaciones[Servicio],"")</f>
        <v/>
      </c>
      <c r="K16" s="6" t="str" cm="1">
        <f t="array" ref="K16">_xlfn.XLOOKUP(1,(Asignaciones[N° Asp]=$A16)*(Asignaciones[Semana]=VALUE(SUBSTITUTE(K$1,"Semana ",""))),Asignaciones[Servicio],"")</f>
        <v/>
      </c>
      <c r="L16" s="8" t="str" cm="1">
        <f t="array" ref="L16">_xlfn.XLOOKUP(1,(Asignaciones[N° Asp]=$A16)*(Asignaciones[Semana]=VALUE(SUBSTITUTE(L$1,"Semana ",""))),Asignaciones[Servicio],"")</f>
        <v/>
      </c>
      <c r="M16" s="8" t="str" cm="1">
        <f t="array" ref="M16">_xlfn.XLOOKUP(1,(Asignaciones[N° Asp]=$A16)*(Asignaciones[Semana]=VALUE(SUBSTITUTE(M$1,"Semana ",""))),Asignaciones[Servicio],"")</f>
        <v/>
      </c>
      <c r="N16" s="8" t="str" cm="1">
        <f t="array" ref="N16">_xlfn.XLOOKUP(1,(Asignaciones[N° Asp]=$A16)*(Asignaciones[Semana]=VALUE(SUBSTITUTE(N$1,"Semana ",""))),Asignaciones[Servicio],"")</f>
        <v/>
      </c>
      <c r="O16" s="8" t="str" cm="1">
        <f t="array" ref="O16">_xlfn.XLOOKUP(1,(Asignaciones[N° Asp]=$A16)*(Asignaciones[Semana]=VALUE(SUBSTITUTE(O$1,"Semana ",""))),Asignaciones[Servicio],"")</f>
        <v/>
      </c>
    </row>
    <row r="17" spans="1:15" x14ac:dyDescent="0.3">
      <c r="A17" s="10">
        <v>14</v>
      </c>
      <c r="B17" s="8" t="str">
        <v>ESTEFANÍA</v>
      </c>
      <c r="C17" s="29" t="str" cm="1">
        <f t="array" ref="C17">_xlfn.XLOOKUP(1,(Asignaciones[N° Asp]=$A17)*(Asignaciones[Semana]=VALUE(SUBSTITUTE(C$1,"Semana ",""))),Asignaciones[Servicio],"")</f>
        <v/>
      </c>
      <c r="D17" s="8" t="str" cm="1">
        <f t="array" ref="D17">_xlfn.XLOOKUP(1,(Asignaciones[N° Asp]=$A17)*(Asignaciones[Semana]=VALUE(SUBSTITUTE(D$1,"Semana ",""))),Asignaciones[Servicio],"")</f>
        <v/>
      </c>
      <c r="E17" s="8" t="str" cm="1">
        <f t="array" ref="E17">_xlfn.XLOOKUP(1,(Asignaciones[N° Asp]=$A17)*(Asignaciones[Semana]=VALUE(SUBSTITUTE(E$1,"Semana ",""))),Asignaciones[Servicio],"")</f>
        <v/>
      </c>
      <c r="F17" s="8" t="str" cm="1">
        <f t="array" ref="F17">_xlfn.XLOOKUP(1,(Asignaciones[N° Asp]=$A17)*(Asignaciones[Semana]=VALUE(SUBSTITUTE(F$1,"Semana ",""))),Asignaciones[Servicio],"")</f>
        <v/>
      </c>
      <c r="G17" s="8" t="str" cm="1">
        <f t="array" ref="G17">_xlfn.XLOOKUP(1,(Asignaciones[N° Asp]=$A17)*(Asignaciones[Semana]=VALUE(SUBSTITUTE(G$1,"Semana ",""))),Asignaciones[Servicio],"")</f>
        <v/>
      </c>
      <c r="H17" s="8" t="str" cm="1">
        <f t="array" ref="H17">_xlfn.XLOOKUP(1,(Asignaciones[N° Asp]=$A17)*(Asignaciones[Semana]=VALUE(SUBSTITUTE(H$1,"Semana ",""))),Asignaciones[Servicio],"")</f>
        <v/>
      </c>
      <c r="I17" s="8" t="str" cm="1">
        <f t="array" ref="I17">_xlfn.XLOOKUP(1,(Asignaciones[N° Asp]=$A17)*(Asignaciones[Semana]=VALUE(SUBSTITUTE(I$1,"Semana ",""))),Asignaciones[Servicio],"")</f>
        <v/>
      </c>
      <c r="J17" s="5" t="str" cm="1">
        <f t="array" ref="J17">_xlfn.XLOOKUP(1,(Asignaciones[N° Asp]=$A17)*(Asignaciones[Semana]=VALUE(SUBSTITUTE(J$1,"Semana ",""))),Asignaciones[Servicio],"")</f>
        <v/>
      </c>
      <c r="K17" s="6" t="str" cm="1">
        <f t="array" ref="K17">_xlfn.XLOOKUP(1,(Asignaciones[N° Asp]=$A17)*(Asignaciones[Semana]=VALUE(SUBSTITUTE(K$1,"Semana ",""))),Asignaciones[Servicio],"")</f>
        <v/>
      </c>
      <c r="L17" s="8" t="str" cm="1">
        <f t="array" ref="L17">_xlfn.XLOOKUP(1,(Asignaciones[N° Asp]=$A17)*(Asignaciones[Semana]=VALUE(SUBSTITUTE(L$1,"Semana ",""))),Asignaciones[Servicio],"")</f>
        <v/>
      </c>
      <c r="M17" s="8" t="str" cm="1">
        <f t="array" ref="M17">_xlfn.XLOOKUP(1,(Asignaciones[N° Asp]=$A17)*(Asignaciones[Semana]=VALUE(SUBSTITUTE(M$1,"Semana ",""))),Asignaciones[Servicio],"")</f>
        <v/>
      </c>
      <c r="N17" s="8" t="str" cm="1">
        <f t="array" ref="N17">_xlfn.XLOOKUP(1,(Asignaciones[N° Asp]=$A17)*(Asignaciones[Semana]=VALUE(SUBSTITUTE(N$1,"Semana ",""))),Asignaciones[Servicio],"")</f>
        <v/>
      </c>
      <c r="O17" s="8" t="str" cm="1">
        <f t="array" ref="O17">_xlfn.XLOOKUP(1,(Asignaciones[N° Asp]=$A17)*(Asignaciones[Semana]=VALUE(SUBSTITUTE(O$1,"Semana ",""))),Asignaciones[Servicio],"")</f>
        <v/>
      </c>
    </row>
    <row r="18" spans="1:15" x14ac:dyDescent="0.3">
      <c r="A18" s="10">
        <v>15</v>
      </c>
      <c r="B18" s="8" t="str">
        <v>EZEQUIEL</v>
      </c>
      <c r="C18" s="29" t="str" cm="1">
        <f t="array" ref="C18">_xlfn.XLOOKUP(1,(Asignaciones[N° Asp]=$A18)*(Asignaciones[Semana]=VALUE(SUBSTITUTE(C$1,"Semana ",""))),Asignaciones[Servicio],"")</f>
        <v/>
      </c>
      <c r="D18" s="8" t="str" cm="1">
        <f t="array" ref="D18">_xlfn.XLOOKUP(1,(Asignaciones[N° Asp]=$A18)*(Asignaciones[Semana]=VALUE(SUBSTITUTE(D$1,"Semana ",""))),Asignaciones[Servicio],"")</f>
        <v>MATERNIDAD</v>
      </c>
      <c r="E18" s="8" t="str" cm="1">
        <f t="array" ref="E18">_xlfn.XLOOKUP(1,(Asignaciones[N° Asp]=$A18)*(Asignaciones[Semana]=VALUE(SUBSTITUTE(E$1,"Semana ",""))),Asignaciones[Servicio],"")</f>
        <v/>
      </c>
      <c r="F18" s="8" t="str" cm="1">
        <f t="array" ref="F18">_xlfn.XLOOKUP(1,(Asignaciones[N° Asp]=$A18)*(Asignaciones[Semana]=VALUE(SUBSTITUTE(F$1,"Semana ",""))),Asignaciones[Servicio],"")</f>
        <v/>
      </c>
      <c r="G18" s="8" t="str" cm="1">
        <f t="array" ref="G18">_xlfn.XLOOKUP(1,(Asignaciones[N° Asp]=$A18)*(Asignaciones[Semana]=VALUE(SUBSTITUTE(G$1,"Semana ",""))),Asignaciones[Servicio],"")</f>
        <v/>
      </c>
      <c r="H18" s="8" t="str" cm="1">
        <f t="array" ref="H18">_xlfn.XLOOKUP(1,(Asignaciones[N° Asp]=$A18)*(Asignaciones[Semana]=VALUE(SUBSTITUTE(H$1,"Semana ",""))),Asignaciones[Servicio],"")</f>
        <v/>
      </c>
      <c r="I18" s="8" t="str" cm="1">
        <f t="array" ref="I18">_xlfn.XLOOKUP(1,(Asignaciones[N° Asp]=$A18)*(Asignaciones[Semana]=VALUE(SUBSTITUTE(I$1,"Semana ",""))),Asignaciones[Servicio],"")</f>
        <v/>
      </c>
      <c r="J18" s="5" t="str" cm="1">
        <f t="array" ref="J18">_xlfn.XLOOKUP(1,(Asignaciones[N° Asp]=$A18)*(Asignaciones[Semana]=VALUE(SUBSTITUTE(J$1,"Semana ",""))),Asignaciones[Servicio],"")</f>
        <v/>
      </c>
      <c r="K18" s="6" t="str" cm="1">
        <f t="array" ref="K18">_xlfn.XLOOKUP(1,(Asignaciones[N° Asp]=$A18)*(Asignaciones[Semana]=VALUE(SUBSTITUTE(K$1,"Semana ",""))),Asignaciones[Servicio],"")</f>
        <v/>
      </c>
      <c r="L18" s="8" t="str" cm="1">
        <f t="array" ref="L18">_xlfn.XLOOKUP(1,(Asignaciones[N° Asp]=$A18)*(Asignaciones[Semana]=VALUE(SUBSTITUTE(L$1,"Semana ",""))),Asignaciones[Servicio],"")</f>
        <v/>
      </c>
      <c r="M18" s="8" t="str" cm="1">
        <f t="array" ref="M18">_xlfn.XLOOKUP(1,(Asignaciones[N° Asp]=$A18)*(Asignaciones[Semana]=VALUE(SUBSTITUTE(M$1,"Semana ",""))),Asignaciones[Servicio],"")</f>
        <v/>
      </c>
      <c r="N18" s="8" t="str" cm="1">
        <f t="array" ref="N18">_xlfn.XLOOKUP(1,(Asignaciones[N° Asp]=$A18)*(Asignaciones[Semana]=VALUE(SUBSTITUTE(N$1,"Semana ",""))),Asignaciones[Servicio],"")</f>
        <v/>
      </c>
      <c r="O18" s="8" t="str" cm="1">
        <f t="array" ref="O18">_xlfn.XLOOKUP(1,(Asignaciones[N° Asp]=$A18)*(Asignaciones[Semana]=VALUE(SUBSTITUTE(O$1,"Semana ",""))),Asignaciones[Servicio],"")</f>
        <v/>
      </c>
    </row>
    <row r="19" spans="1:15" x14ac:dyDescent="0.3">
      <c r="A19" s="10">
        <v>16</v>
      </c>
      <c r="B19" s="8" t="str">
        <v>FABIAN</v>
      </c>
      <c r="C19" s="29" t="str" cm="1">
        <f t="array" ref="C19">_xlfn.XLOOKUP(1,(Asignaciones[N° Asp]=$A19)*(Asignaciones[Semana]=VALUE(SUBSTITUTE(C$1,"Semana ",""))),Asignaciones[Servicio],"")</f>
        <v/>
      </c>
      <c r="D19" s="8" t="str" cm="1">
        <f t="array" ref="D19">_xlfn.XLOOKUP(1,(Asignaciones[N° Asp]=$A19)*(Asignaciones[Semana]=VALUE(SUBSTITUTE(D$1,"Semana ",""))),Asignaciones[Servicio],"")</f>
        <v>MATERNIDAD</v>
      </c>
      <c r="E19" s="8" t="str" cm="1">
        <f t="array" ref="E19">_xlfn.XLOOKUP(1,(Asignaciones[N° Asp]=$A19)*(Asignaciones[Semana]=VALUE(SUBSTITUTE(E$1,"Semana ",""))),Asignaciones[Servicio],"")</f>
        <v/>
      </c>
      <c r="F19" s="8" t="str" cm="1">
        <f t="array" ref="F19">_xlfn.XLOOKUP(1,(Asignaciones[N° Asp]=$A19)*(Asignaciones[Semana]=VALUE(SUBSTITUTE(F$1,"Semana ",""))),Asignaciones[Servicio],"")</f>
        <v/>
      </c>
      <c r="G19" s="8" t="str" cm="1">
        <f t="array" ref="G19">_xlfn.XLOOKUP(1,(Asignaciones[N° Asp]=$A19)*(Asignaciones[Semana]=VALUE(SUBSTITUTE(G$1,"Semana ",""))),Asignaciones[Servicio],"")</f>
        <v/>
      </c>
      <c r="H19" s="8" t="str" cm="1">
        <f t="array" ref="H19">_xlfn.XLOOKUP(1,(Asignaciones[N° Asp]=$A19)*(Asignaciones[Semana]=VALUE(SUBSTITUTE(H$1,"Semana ",""))),Asignaciones[Servicio],"")</f>
        <v/>
      </c>
      <c r="I19" s="8" t="str" cm="1">
        <f t="array" ref="I19">_xlfn.XLOOKUP(1,(Asignaciones[N° Asp]=$A19)*(Asignaciones[Semana]=VALUE(SUBSTITUTE(I$1,"Semana ",""))),Asignaciones[Servicio],"")</f>
        <v/>
      </c>
      <c r="J19" s="5" t="str" cm="1">
        <f t="array" ref="J19">_xlfn.XLOOKUP(1,(Asignaciones[N° Asp]=$A19)*(Asignaciones[Semana]=VALUE(SUBSTITUTE(J$1,"Semana ",""))),Asignaciones[Servicio],"")</f>
        <v/>
      </c>
      <c r="K19" s="6" t="str" cm="1">
        <f t="array" ref="K19">_xlfn.XLOOKUP(1,(Asignaciones[N° Asp]=$A19)*(Asignaciones[Semana]=VALUE(SUBSTITUTE(K$1,"Semana ",""))),Asignaciones[Servicio],"")</f>
        <v/>
      </c>
      <c r="L19" s="8" t="str" cm="1">
        <f t="array" ref="L19">_xlfn.XLOOKUP(1,(Asignaciones[N° Asp]=$A19)*(Asignaciones[Semana]=VALUE(SUBSTITUTE(L$1,"Semana ",""))),Asignaciones[Servicio],"")</f>
        <v/>
      </c>
      <c r="M19" s="8" t="str" cm="1">
        <f t="array" ref="M19">_xlfn.XLOOKUP(1,(Asignaciones[N° Asp]=$A19)*(Asignaciones[Semana]=VALUE(SUBSTITUTE(M$1,"Semana ",""))),Asignaciones[Servicio],"")</f>
        <v/>
      </c>
      <c r="N19" s="8" t="str" cm="1">
        <f t="array" ref="N19">_xlfn.XLOOKUP(1,(Asignaciones[N° Asp]=$A19)*(Asignaciones[Semana]=VALUE(SUBSTITUTE(N$1,"Semana ",""))),Asignaciones[Servicio],"")</f>
        <v/>
      </c>
      <c r="O19" s="8" t="str" cm="1">
        <f t="array" ref="O19">_xlfn.XLOOKUP(1,(Asignaciones[N° Asp]=$A19)*(Asignaciones[Semana]=VALUE(SUBSTITUTE(O$1,"Semana ",""))),Asignaciones[Servicio],"")</f>
        <v/>
      </c>
    </row>
    <row r="20" spans="1:15" x14ac:dyDescent="0.3">
      <c r="A20" s="10">
        <v>17</v>
      </c>
      <c r="B20" s="8" t="str">
        <v>FRANCO</v>
      </c>
      <c r="C20" s="29" t="str" cm="1">
        <f t="array" ref="C20">_xlfn.XLOOKUP(1,(Asignaciones[N° Asp]=$A20)*(Asignaciones[Semana]=VALUE(SUBSTITUTE(C$1,"Semana ",""))),Asignaciones[Servicio],"")</f>
        <v/>
      </c>
      <c r="D20" s="8" t="str" cm="1">
        <f t="array" ref="D20">_xlfn.XLOOKUP(1,(Asignaciones[N° Asp]=$A20)*(Asignaciones[Semana]=VALUE(SUBSTITUTE(D$1,"Semana ",""))),Asignaciones[Servicio],"")</f>
        <v/>
      </c>
      <c r="E20" s="8" t="str" cm="1">
        <f t="array" ref="E20">_xlfn.XLOOKUP(1,(Asignaciones[N° Asp]=$A20)*(Asignaciones[Semana]=VALUE(SUBSTITUTE(E$1,"Semana ",""))),Asignaciones[Servicio],"")</f>
        <v/>
      </c>
      <c r="F20" s="8" t="str" cm="1">
        <f t="array" ref="F20">_xlfn.XLOOKUP(1,(Asignaciones[N° Asp]=$A20)*(Asignaciones[Semana]=VALUE(SUBSTITUTE(F$1,"Semana ",""))),Asignaciones[Servicio],"")</f>
        <v/>
      </c>
      <c r="G20" s="8" t="str" cm="1">
        <f t="array" ref="G20">_xlfn.XLOOKUP(1,(Asignaciones[N° Asp]=$A20)*(Asignaciones[Semana]=VALUE(SUBSTITUTE(G$1,"Semana ",""))),Asignaciones[Servicio],"")</f>
        <v/>
      </c>
      <c r="H20" s="8" t="str" cm="1">
        <f t="array" ref="H20">_xlfn.XLOOKUP(1,(Asignaciones[N° Asp]=$A20)*(Asignaciones[Semana]=VALUE(SUBSTITUTE(H$1,"Semana ",""))),Asignaciones[Servicio],"")</f>
        <v/>
      </c>
      <c r="I20" s="8" t="str" cm="1">
        <f t="array" ref="I20">_xlfn.XLOOKUP(1,(Asignaciones[N° Asp]=$A20)*(Asignaciones[Semana]=VALUE(SUBSTITUTE(I$1,"Semana ",""))),Asignaciones[Servicio],"")</f>
        <v/>
      </c>
      <c r="J20" s="5" t="str" cm="1">
        <f t="array" ref="J20">_xlfn.XLOOKUP(1,(Asignaciones[N° Asp]=$A20)*(Asignaciones[Semana]=VALUE(SUBSTITUTE(J$1,"Semana ",""))),Asignaciones[Servicio],"")</f>
        <v/>
      </c>
      <c r="K20" s="6" t="str" cm="1">
        <f t="array" ref="K20">_xlfn.XLOOKUP(1,(Asignaciones[N° Asp]=$A20)*(Asignaciones[Semana]=VALUE(SUBSTITUTE(K$1,"Semana ",""))),Asignaciones[Servicio],"")</f>
        <v/>
      </c>
      <c r="L20" s="8" t="str" cm="1">
        <f t="array" ref="L20">_xlfn.XLOOKUP(1,(Asignaciones[N° Asp]=$A20)*(Asignaciones[Semana]=VALUE(SUBSTITUTE(L$1,"Semana ",""))),Asignaciones[Servicio],"")</f>
        <v/>
      </c>
      <c r="M20" s="8" t="str" cm="1">
        <f t="array" ref="M20">_xlfn.XLOOKUP(1,(Asignaciones[N° Asp]=$A20)*(Asignaciones[Semana]=VALUE(SUBSTITUTE(M$1,"Semana ",""))),Asignaciones[Servicio],"")</f>
        <v/>
      </c>
      <c r="N20" s="8" t="str" cm="1">
        <f t="array" ref="N20">_xlfn.XLOOKUP(1,(Asignaciones[N° Asp]=$A20)*(Asignaciones[Semana]=VALUE(SUBSTITUTE(N$1,"Semana ",""))),Asignaciones[Servicio],"")</f>
        <v/>
      </c>
      <c r="O20" s="8" t="str" cm="1">
        <f t="array" ref="O20">_xlfn.XLOOKUP(1,(Asignaciones[N° Asp]=$A20)*(Asignaciones[Semana]=VALUE(SUBSTITUTE(O$1,"Semana ",""))),Asignaciones[Servicio],"")</f>
        <v/>
      </c>
    </row>
    <row r="21" spans="1:15" x14ac:dyDescent="0.3">
      <c r="A21" s="10">
        <v>18</v>
      </c>
      <c r="B21" s="8" t="str">
        <v>LAURA</v>
      </c>
      <c r="C21" s="29" t="str" cm="1">
        <f t="array" ref="C21">_xlfn.XLOOKUP(1,(Asignaciones[N° Asp]=$A21)*(Asignaciones[Semana]=VALUE(SUBSTITUTE(C$1,"Semana ",""))),Asignaciones[Servicio],"")</f>
        <v/>
      </c>
      <c r="D21" s="8" t="str" cm="1">
        <f t="array" ref="D21">_xlfn.XLOOKUP(1,(Asignaciones[N° Asp]=$A21)*(Asignaciones[Semana]=VALUE(SUBSTITUTE(D$1,"Semana ",""))),Asignaciones[Servicio],"")</f>
        <v/>
      </c>
      <c r="E21" s="8" t="str" cm="1">
        <f t="array" ref="E21">_xlfn.XLOOKUP(1,(Asignaciones[N° Asp]=$A21)*(Asignaciones[Semana]=VALUE(SUBSTITUTE(E$1,"Semana ",""))),Asignaciones[Servicio],"")</f>
        <v/>
      </c>
      <c r="F21" s="8" t="str" cm="1">
        <f t="array" ref="F21">_xlfn.XLOOKUP(1,(Asignaciones[N° Asp]=$A21)*(Asignaciones[Semana]=VALUE(SUBSTITUTE(F$1,"Semana ",""))),Asignaciones[Servicio],"")</f>
        <v/>
      </c>
      <c r="G21" s="8" t="str" cm="1">
        <f t="array" ref="G21">_xlfn.XLOOKUP(1,(Asignaciones[N° Asp]=$A21)*(Asignaciones[Semana]=VALUE(SUBSTITUTE(G$1,"Semana ",""))),Asignaciones[Servicio],"")</f>
        <v/>
      </c>
      <c r="H21" s="8" t="str" cm="1">
        <f t="array" ref="H21">_xlfn.XLOOKUP(1,(Asignaciones[N° Asp]=$A21)*(Asignaciones[Semana]=VALUE(SUBSTITUTE(H$1,"Semana ",""))),Asignaciones[Servicio],"")</f>
        <v/>
      </c>
      <c r="I21" s="8" t="str" cm="1">
        <f t="array" ref="I21">_xlfn.XLOOKUP(1,(Asignaciones[N° Asp]=$A21)*(Asignaciones[Semana]=VALUE(SUBSTITUTE(I$1,"Semana ",""))),Asignaciones[Servicio],"")</f>
        <v/>
      </c>
      <c r="J21" s="5" t="str" cm="1">
        <f t="array" ref="J21">_xlfn.XLOOKUP(1,(Asignaciones[N° Asp]=$A21)*(Asignaciones[Semana]=VALUE(SUBSTITUTE(J$1,"Semana ",""))),Asignaciones[Servicio],"")</f>
        <v/>
      </c>
      <c r="K21" s="6" t="str" cm="1">
        <f t="array" ref="K21">_xlfn.XLOOKUP(1,(Asignaciones[N° Asp]=$A21)*(Asignaciones[Semana]=VALUE(SUBSTITUTE(K$1,"Semana ",""))),Asignaciones[Servicio],"")</f>
        <v/>
      </c>
      <c r="L21" s="8" t="str" cm="1">
        <f t="array" ref="L21">_xlfn.XLOOKUP(1,(Asignaciones[N° Asp]=$A21)*(Asignaciones[Semana]=VALUE(SUBSTITUTE(L$1,"Semana ",""))),Asignaciones[Servicio],"")</f>
        <v/>
      </c>
      <c r="M21" s="8" t="str" cm="1">
        <f t="array" ref="M21">_xlfn.XLOOKUP(1,(Asignaciones[N° Asp]=$A21)*(Asignaciones[Semana]=VALUE(SUBSTITUTE(M$1,"Semana ",""))),Asignaciones[Servicio],"")</f>
        <v/>
      </c>
      <c r="N21" s="8" t="str" cm="1">
        <f t="array" ref="N21">_xlfn.XLOOKUP(1,(Asignaciones[N° Asp]=$A21)*(Asignaciones[Semana]=VALUE(SUBSTITUTE(N$1,"Semana ",""))),Asignaciones[Servicio],"")</f>
        <v/>
      </c>
      <c r="O21" s="8" t="str" cm="1">
        <f t="array" ref="O21">_xlfn.XLOOKUP(1,(Asignaciones[N° Asp]=$A21)*(Asignaciones[Semana]=VALUE(SUBSTITUTE(O$1,"Semana ",""))),Asignaciones[Servicio],"")</f>
        <v/>
      </c>
    </row>
    <row r="22" spans="1:15" x14ac:dyDescent="0.3">
      <c r="A22" s="10">
        <v>19</v>
      </c>
      <c r="B22" s="8" t="str">
        <v>LELIA</v>
      </c>
      <c r="C22" s="29" t="str" cm="1">
        <f t="array" ref="C22">_xlfn.XLOOKUP(1,(Asignaciones[N° Asp]=$A22)*(Asignaciones[Semana]=VALUE(SUBSTITUTE(C$1,"Semana ",""))),Asignaciones[Servicio],"")</f>
        <v/>
      </c>
      <c r="D22" s="8" t="str" cm="1">
        <f t="array" ref="D22">_xlfn.XLOOKUP(1,(Asignaciones[N° Asp]=$A22)*(Asignaciones[Semana]=VALUE(SUBSTITUTE(D$1,"Semana ",""))),Asignaciones[Servicio],"")</f>
        <v/>
      </c>
      <c r="E22" s="8" t="str" cm="1">
        <f t="array" ref="E22">_xlfn.XLOOKUP(1,(Asignaciones[N° Asp]=$A22)*(Asignaciones[Semana]=VALUE(SUBSTITUTE(E$1,"Semana ",""))),Asignaciones[Servicio],"")</f>
        <v/>
      </c>
      <c r="F22" s="8" t="str" cm="1">
        <f t="array" ref="F22">_xlfn.XLOOKUP(1,(Asignaciones[N° Asp]=$A22)*(Asignaciones[Semana]=VALUE(SUBSTITUTE(F$1,"Semana ",""))),Asignaciones[Servicio],"")</f>
        <v/>
      </c>
      <c r="G22" s="8" t="str" cm="1">
        <f t="array" ref="G22">_xlfn.XLOOKUP(1,(Asignaciones[N° Asp]=$A22)*(Asignaciones[Semana]=VALUE(SUBSTITUTE(G$1,"Semana ",""))),Asignaciones[Servicio],"")</f>
        <v/>
      </c>
      <c r="H22" s="8" t="str" cm="1">
        <f t="array" ref="H22">_xlfn.XLOOKUP(1,(Asignaciones[N° Asp]=$A22)*(Asignaciones[Semana]=VALUE(SUBSTITUTE(H$1,"Semana ",""))),Asignaciones[Servicio],"")</f>
        <v/>
      </c>
      <c r="I22" s="8" t="str" cm="1">
        <f t="array" ref="I22">_xlfn.XLOOKUP(1,(Asignaciones[N° Asp]=$A22)*(Asignaciones[Semana]=VALUE(SUBSTITUTE(I$1,"Semana ",""))),Asignaciones[Servicio],"")</f>
        <v/>
      </c>
      <c r="J22" s="5" t="str" cm="1">
        <f t="array" ref="J22">_xlfn.XLOOKUP(1,(Asignaciones[N° Asp]=$A22)*(Asignaciones[Semana]=VALUE(SUBSTITUTE(J$1,"Semana ",""))),Asignaciones[Servicio],"")</f>
        <v/>
      </c>
      <c r="K22" s="6" t="str" cm="1">
        <f t="array" ref="K22">_xlfn.XLOOKUP(1,(Asignaciones[N° Asp]=$A22)*(Asignaciones[Semana]=VALUE(SUBSTITUTE(K$1,"Semana ",""))),Asignaciones[Servicio],"")</f>
        <v/>
      </c>
      <c r="L22" s="8" t="str" cm="1">
        <f t="array" ref="L22">_xlfn.XLOOKUP(1,(Asignaciones[N° Asp]=$A22)*(Asignaciones[Semana]=VALUE(SUBSTITUTE(L$1,"Semana ",""))),Asignaciones[Servicio],"")</f>
        <v/>
      </c>
      <c r="M22" s="8" t="str" cm="1">
        <f t="array" ref="M22">_xlfn.XLOOKUP(1,(Asignaciones[N° Asp]=$A22)*(Asignaciones[Semana]=VALUE(SUBSTITUTE(M$1,"Semana ",""))),Asignaciones[Servicio],"")</f>
        <v/>
      </c>
      <c r="N22" s="8" t="str" cm="1">
        <f t="array" ref="N22">_xlfn.XLOOKUP(1,(Asignaciones[N° Asp]=$A22)*(Asignaciones[Semana]=VALUE(SUBSTITUTE(N$1,"Semana ",""))),Asignaciones[Servicio],"")</f>
        <v/>
      </c>
      <c r="O22" s="8" t="str" cm="1">
        <f t="array" ref="O22">_xlfn.XLOOKUP(1,(Asignaciones[N° Asp]=$A22)*(Asignaciones[Semana]=VALUE(SUBSTITUTE(O$1,"Semana ",""))),Asignaciones[Servicio],"")</f>
        <v/>
      </c>
    </row>
    <row r="23" spans="1:15" x14ac:dyDescent="0.3">
      <c r="A23" s="10">
        <v>20</v>
      </c>
      <c r="B23" s="8" t="str">
        <v>LORENA</v>
      </c>
      <c r="C23" s="29" t="str" cm="1">
        <f t="array" ref="C23">_xlfn.XLOOKUP(1,(Asignaciones[N° Asp]=$A23)*(Asignaciones[Semana]=VALUE(SUBSTITUTE(C$1,"Semana ",""))),Asignaciones[Servicio],"")</f>
        <v>INTERN CIRUGIA</v>
      </c>
      <c r="D23" s="8" t="str" cm="1">
        <f t="array" ref="D23">_xlfn.XLOOKUP(1,(Asignaciones[N° Asp]=$A23)*(Asignaciones[Semana]=VALUE(SUBSTITUTE(D$1,"Semana ",""))),Asignaciones[Servicio],"")</f>
        <v/>
      </c>
      <c r="E23" s="8" t="str" cm="1">
        <f t="array" ref="E23">_xlfn.XLOOKUP(1,(Asignaciones[N° Asp]=$A23)*(Asignaciones[Semana]=VALUE(SUBSTITUTE(E$1,"Semana ",""))),Asignaciones[Servicio],"")</f>
        <v/>
      </c>
      <c r="F23" s="8" t="str" cm="1">
        <f t="array" ref="F23">_xlfn.XLOOKUP(1,(Asignaciones[N° Asp]=$A23)*(Asignaciones[Semana]=VALUE(SUBSTITUTE(F$1,"Semana ",""))),Asignaciones[Servicio],"")</f>
        <v/>
      </c>
      <c r="G23" s="8" t="str" cm="1">
        <f t="array" ref="G23">_xlfn.XLOOKUP(1,(Asignaciones[N° Asp]=$A23)*(Asignaciones[Semana]=VALUE(SUBSTITUTE(G$1,"Semana ",""))),Asignaciones[Servicio],"")</f>
        <v/>
      </c>
      <c r="H23" s="8" t="str" cm="1">
        <f t="array" ref="H23">_xlfn.XLOOKUP(1,(Asignaciones[N° Asp]=$A23)*(Asignaciones[Semana]=VALUE(SUBSTITUTE(H$1,"Semana ",""))),Asignaciones[Servicio],"")</f>
        <v/>
      </c>
      <c r="I23" s="8" t="str" cm="1">
        <f t="array" ref="I23">_xlfn.XLOOKUP(1,(Asignaciones[N° Asp]=$A23)*(Asignaciones[Semana]=VALUE(SUBSTITUTE(I$1,"Semana ",""))),Asignaciones[Servicio],"")</f>
        <v/>
      </c>
      <c r="J23" s="5" t="str" cm="1">
        <f t="array" ref="J23">_xlfn.XLOOKUP(1,(Asignaciones[N° Asp]=$A23)*(Asignaciones[Semana]=VALUE(SUBSTITUTE(J$1,"Semana ",""))),Asignaciones[Servicio],"")</f>
        <v/>
      </c>
      <c r="K23" s="6" t="str" cm="1">
        <f t="array" ref="K23">_xlfn.XLOOKUP(1,(Asignaciones[N° Asp]=$A23)*(Asignaciones[Semana]=VALUE(SUBSTITUTE(K$1,"Semana ",""))),Asignaciones[Servicio],"")</f>
        <v/>
      </c>
      <c r="L23" s="8" t="str" cm="1">
        <f t="array" ref="L23">_xlfn.XLOOKUP(1,(Asignaciones[N° Asp]=$A23)*(Asignaciones[Semana]=VALUE(SUBSTITUTE(L$1,"Semana ",""))),Asignaciones[Servicio],"")</f>
        <v/>
      </c>
      <c r="M23" s="8" t="str" cm="1">
        <f t="array" ref="M23">_xlfn.XLOOKUP(1,(Asignaciones[N° Asp]=$A23)*(Asignaciones[Semana]=VALUE(SUBSTITUTE(M$1,"Semana ",""))),Asignaciones[Servicio],"")</f>
        <v/>
      </c>
      <c r="N23" s="8" t="str" cm="1">
        <f t="array" ref="N23">_xlfn.XLOOKUP(1,(Asignaciones[N° Asp]=$A23)*(Asignaciones[Semana]=VALUE(SUBSTITUTE(N$1,"Semana ",""))),Asignaciones[Servicio],"")</f>
        <v/>
      </c>
      <c r="O23" s="8" t="str" cm="1">
        <f t="array" ref="O23">_xlfn.XLOOKUP(1,(Asignaciones[N° Asp]=$A23)*(Asignaciones[Semana]=VALUE(SUBSTITUTE(O$1,"Semana ",""))),Asignaciones[Servicio],"")</f>
        <v/>
      </c>
    </row>
    <row r="24" spans="1:15" x14ac:dyDescent="0.3">
      <c r="A24" s="10">
        <v>21</v>
      </c>
      <c r="B24" s="8" t="str">
        <v>LUCIA</v>
      </c>
      <c r="C24" s="29" t="str" cm="1">
        <f t="array" ref="C24">_xlfn.XLOOKUP(1,(Asignaciones[N° Asp]=$A24)*(Asignaciones[Semana]=VALUE(SUBSTITUTE(C$1,"Semana ",""))),Asignaciones[Servicio],"")</f>
        <v/>
      </c>
      <c r="D24" s="8" t="str" cm="1">
        <f t="array" ref="D24">_xlfn.XLOOKUP(1,(Asignaciones[N° Asp]=$A24)*(Asignaciones[Semana]=VALUE(SUBSTITUTE(D$1,"Semana ",""))),Asignaciones[Servicio],"")</f>
        <v/>
      </c>
      <c r="E24" s="8" t="str" cm="1">
        <f t="array" ref="E24">_xlfn.XLOOKUP(1,(Asignaciones[N° Asp]=$A24)*(Asignaciones[Semana]=VALUE(SUBSTITUTE(E$1,"Semana ",""))),Asignaciones[Servicio],"")</f>
        <v/>
      </c>
      <c r="F24" s="8" t="str" cm="1">
        <f t="array" ref="F24">_xlfn.XLOOKUP(1,(Asignaciones[N° Asp]=$A24)*(Asignaciones[Semana]=VALUE(SUBSTITUTE(F$1,"Semana ",""))),Asignaciones[Servicio],"")</f>
        <v/>
      </c>
      <c r="G24" s="8" t="str" cm="1">
        <f t="array" ref="G24">_xlfn.XLOOKUP(1,(Asignaciones[N° Asp]=$A24)*(Asignaciones[Semana]=VALUE(SUBSTITUTE(G$1,"Semana ",""))),Asignaciones[Servicio],"")</f>
        <v/>
      </c>
      <c r="H24" s="8" t="str" cm="1">
        <f t="array" ref="H24">_xlfn.XLOOKUP(1,(Asignaciones[N° Asp]=$A24)*(Asignaciones[Semana]=VALUE(SUBSTITUTE(H$1,"Semana ",""))),Asignaciones[Servicio],"")</f>
        <v/>
      </c>
      <c r="I24" s="8" t="str" cm="1">
        <f t="array" ref="I24">_xlfn.XLOOKUP(1,(Asignaciones[N° Asp]=$A24)*(Asignaciones[Semana]=VALUE(SUBSTITUTE(I$1,"Semana ",""))),Asignaciones[Servicio],"")</f>
        <v/>
      </c>
      <c r="J24" s="5" t="str" cm="1">
        <f t="array" ref="J24">_xlfn.XLOOKUP(1,(Asignaciones[N° Asp]=$A24)*(Asignaciones[Semana]=VALUE(SUBSTITUTE(J$1,"Semana ",""))),Asignaciones[Servicio],"")</f>
        <v/>
      </c>
      <c r="K24" s="6" t="str" cm="1">
        <f t="array" ref="K24">_xlfn.XLOOKUP(1,(Asignaciones[N° Asp]=$A24)*(Asignaciones[Semana]=VALUE(SUBSTITUTE(K$1,"Semana ",""))),Asignaciones[Servicio],"")</f>
        <v/>
      </c>
      <c r="L24" s="8" t="str" cm="1">
        <f t="array" ref="L24">_xlfn.XLOOKUP(1,(Asignaciones[N° Asp]=$A24)*(Asignaciones[Semana]=VALUE(SUBSTITUTE(L$1,"Semana ",""))),Asignaciones[Servicio],"")</f>
        <v/>
      </c>
      <c r="M24" s="8" t="str" cm="1">
        <f t="array" ref="M24">_xlfn.XLOOKUP(1,(Asignaciones[N° Asp]=$A24)*(Asignaciones[Semana]=VALUE(SUBSTITUTE(M$1,"Semana ",""))),Asignaciones[Servicio],"")</f>
        <v/>
      </c>
      <c r="N24" s="8" t="str" cm="1">
        <f t="array" ref="N24">_xlfn.XLOOKUP(1,(Asignaciones[N° Asp]=$A24)*(Asignaciones[Semana]=VALUE(SUBSTITUTE(N$1,"Semana ",""))),Asignaciones[Servicio],"")</f>
        <v/>
      </c>
      <c r="O24" s="8" t="str" cm="1">
        <f t="array" ref="O24">_xlfn.XLOOKUP(1,(Asignaciones[N° Asp]=$A24)*(Asignaciones[Semana]=VALUE(SUBSTITUTE(O$1,"Semana ",""))),Asignaciones[Servicio],"")</f>
        <v/>
      </c>
    </row>
    <row r="25" spans="1:15" x14ac:dyDescent="0.3">
      <c r="A25" s="10">
        <v>22</v>
      </c>
      <c r="B25" s="8" t="str">
        <v>MAIA</v>
      </c>
      <c r="C25" s="29" t="str" cm="1">
        <f t="array" ref="C25">_xlfn.XLOOKUP(1,(Asignaciones[N° Asp]=$A25)*(Asignaciones[Semana]=VALUE(SUBSTITUTE(C$1,"Semana ",""))),Asignaciones[Servicio],"")</f>
        <v/>
      </c>
      <c r="D25" s="8" t="str" cm="1">
        <f t="array" ref="D25">_xlfn.XLOOKUP(1,(Asignaciones[N° Asp]=$A25)*(Asignaciones[Semana]=VALUE(SUBSTITUTE(D$1,"Semana ",""))),Asignaciones[Servicio],"")</f>
        <v>CENTRO OBS</v>
      </c>
      <c r="E25" s="8" t="str" cm="1">
        <f t="array" ref="E25">_xlfn.XLOOKUP(1,(Asignaciones[N° Asp]=$A25)*(Asignaciones[Semana]=VALUE(SUBSTITUTE(E$1,"Semana ",""))),Asignaciones[Servicio],"")</f>
        <v/>
      </c>
      <c r="F25" s="8" t="str" cm="1">
        <f t="array" ref="F25">_xlfn.XLOOKUP(1,(Asignaciones[N° Asp]=$A25)*(Asignaciones[Semana]=VALUE(SUBSTITUTE(F$1,"Semana ",""))),Asignaciones[Servicio],"")</f>
        <v/>
      </c>
      <c r="G25" s="8" t="str" cm="1">
        <f t="array" ref="G25">_xlfn.XLOOKUP(1,(Asignaciones[N° Asp]=$A25)*(Asignaciones[Semana]=VALUE(SUBSTITUTE(G$1,"Semana ",""))),Asignaciones[Servicio],"")</f>
        <v/>
      </c>
      <c r="H25" s="8" t="str" cm="1">
        <f t="array" ref="H25">_xlfn.XLOOKUP(1,(Asignaciones[N° Asp]=$A25)*(Asignaciones[Semana]=VALUE(SUBSTITUTE(H$1,"Semana ",""))),Asignaciones[Servicio],"")</f>
        <v/>
      </c>
      <c r="I25" s="8" t="str" cm="1">
        <f t="array" ref="I25">_xlfn.XLOOKUP(1,(Asignaciones[N° Asp]=$A25)*(Asignaciones[Semana]=VALUE(SUBSTITUTE(I$1,"Semana ",""))),Asignaciones[Servicio],"")</f>
        <v/>
      </c>
      <c r="J25" s="5" t="str" cm="1">
        <f t="array" ref="J25">_xlfn.XLOOKUP(1,(Asignaciones[N° Asp]=$A25)*(Asignaciones[Semana]=VALUE(SUBSTITUTE(J$1,"Semana ",""))),Asignaciones[Servicio],"")</f>
        <v/>
      </c>
      <c r="K25" s="6" t="str" cm="1">
        <f t="array" ref="K25">_xlfn.XLOOKUP(1,(Asignaciones[N° Asp]=$A25)*(Asignaciones[Semana]=VALUE(SUBSTITUTE(K$1,"Semana ",""))),Asignaciones[Servicio],"")</f>
        <v/>
      </c>
      <c r="L25" s="8" t="str" cm="1">
        <f t="array" ref="L25">_xlfn.XLOOKUP(1,(Asignaciones[N° Asp]=$A25)*(Asignaciones[Semana]=VALUE(SUBSTITUTE(L$1,"Semana ",""))),Asignaciones[Servicio],"")</f>
        <v/>
      </c>
      <c r="M25" s="8" t="str" cm="1">
        <f t="array" ref="M25">_xlfn.XLOOKUP(1,(Asignaciones[N° Asp]=$A25)*(Asignaciones[Semana]=VALUE(SUBSTITUTE(M$1,"Semana ",""))),Asignaciones[Servicio],"")</f>
        <v/>
      </c>
      <c r="N25" s="8" t="str" cm="1">
        <f t="array" ref="N25">_xlfn.XLOOKUP(1,(Asignaciones[N° Asp]=$A25)*(Asignaciones[Semana]=VALUE(SUBSTITUTE(N$1,"Semana ",""))),Asignaciones[Servicio],"")</f>
        <v/>
      </c>
      <c r="O25" s="8" t="str" cm="1">
        <f t="array" ref="O25">_xlfn.XLOOKUP(1,(Asignaciones[N° Asp]=$A25)*(Asignaciones[Semana]=VALUE(SUBSTITUTE(O$1,"Semana ",""))),Asignaciones[Servicio],"")</f>
        <v/>
      </c>
    </row>
    <row r="26" spans="1:15" x14ac:dyDescent="0.3">
      <c r="A26" s="10">
        <v>23</v>
      </c>
      <c r="B26" s="8" t="str">
        <v>MARCELA</v>
      </c>
      <c r="C26" s="29" t="str" cm="1">
        <f t="array" ref="C26">_xlfn.XLOOKUP(1,(Asignaciones[N° Asp]=$A26)*(Asignaciones[Semana]=VALUE(SUBSTITUTE(C$1,"Semana ",""))),Asignaciones[Servicio],"")</f>
        <v/>
      </c>
      <c r="D26" s="8" t="str" cm="1">
        <f t="array" ref="D26">_xlfn.XLOOKUP(1,(Asignaciones[N° Asp]=$A26)*(Asignaciones[Semana]=VALUE(SUBSTITUTE(D$1,"Semana ",""))),Asignaciones[Servicio],"")</f>
        <v>CENTRO OBS</v>
      </c>
      <c r="E26" s="8" t="str" cm="1">
        <f t="array" ref="E26">_xlfn.XLOOKUP(1,(Asignaciones[N° Asp]=$A26)*(Asignaciones[Semana]=VALUE(SUBSTITUTE(E$1,"Semana ",""))),Asignaciones[Servicio],"")</f>
        <v>GM</v>
      </c>
      <c r="F26" s="8" t="str" cm="1">
        <f t="array" ref="F26">_xlfn.XLOOKUP(1,(Asignaciones[N° Asp]=$A26)*(Asignaciones[Semana]=VALUE(SUBSTITUTE(F$1,"Semana ",""))),Asignaciones[Servicio],"")</f>
        <v>GM</v>
      </c>
      <c r="G26" s="8" t="str" cm="1">
        <f t="array" ref="G26">_xlfn.XLOOKUP(1,(Asignaciones[N° Asp]=$A26)*(Asignaciones[Semana]=VALUE(SUBSTITUTE(G$1,"Semana ",""))),Asignaciones[Servicio],"")</f>
        <v/>
      </c>
      <c r="H26" s="8" t="str" cm="1">
        <f t="array" ref="H26">_xlfn.XLOOKUP(1,(Asignaciones[N° Asp]=$A26)*(Asignaciones[Semana]=VALUE(SUBSTITUTE(H$1,"Semana ",""))),Asignaciones[Servicio],"")</f>
        <v/>
      </c>
      <c r="I26" s="8" t="str" cm="1">
        <f t="array" ref="I26">_xlfn.XLOOKUP(1,(Asignaciones[N° Asp]=$A26)*(Asignaciones[Semana]=VALUE(SUBSTITUTE(I$1,"Semana ",""))),Asignaciones[Servicio],"")</f>
        <v/>
      </c>
      <c r="J26" s="5" t="str" cm="1">
        <f t="array" ref="J26">_xlfn.XLOOKUP(1,(Asignaciones[N° Asp]=$A26)*(Asignaciones[Semana]=VALUE(SUBSTITUTE(J$1,"Semana ",""))),Asignaciones[Servicio],"")</f>
        <v/>
      </c>
      <c r="K26" s="6" t="str" cm="1">
        <f t="array" ref="K26">_xlfn.XLOOKUP(1,(Asignaciones[N° Asp]=$A26)*(Asignaciones[Semana]=VALUE(SUBSTITUTE(K$1,"Semana ",""))),Asignaciones[Servicio],"")</f>
        <v/>
      </c>
      <c r="L26" s="8" t="str" cm="1">
        <f t="array" ref="L26">_xlfn.XLOOKUP(1,(Asignaciones[N° Asp]=$A26)*(Asignaciones[Semana]=VALUE(SUBSTITUTE(L$1,"Semana ",""))),Asignaciones[Servicio],"")</f>
        <v/>
      </c>
      <c r="M26" s="8" t="str" cm="1">
        <f t="array" ref="M26">_xlfn.XLOOKUP(1,(Asignaciones[N° Asp]=$A26)*(Asignaciones[Semana]=VALUE(SUBSTITUTE(M$1,"Semana ",""))),Asignaciones[Servicio],"")</f>
        <v/>
      </c>
      <c r="N26" s="8" t="str" cm="1">
        <f t="array" ref="N26">_xlfn.XLOOKUP(1,(Asignaciones[N° Asp]=$A26)*(Asignaciones[Semana]=VALUE(SUBSTITUTE(N$1,"Semana ",""))),Asignaciones[Servicio],"")</f>
        <v/>
      </c>
      <c r="O26" s="8" t="str" cm="1">
        <f t="array" ref="O26">_xlfn.XLOOKUP(1,(Asignaciones[N° Asp]=$A26)*(Asignaciones[Semana]=VALUE(SUBSTITUTE(O$1,"Semana ",""))),Asignaciones[Servicio],"")</f>
        <v/>
      </c>
    </row>
    <row r="27" spans="1:15" x14ac:dyDescent="0.3">
      <c r="A27" s="10">
        <v>24</v>
      </c>
      <c r="B27" s="8" t="str">
        <v>MARIA</v>
      </c>
      <c r="C27" s="29" t="str" cm="1">
        <f t="array" ref="C27">_xlfn.XLOOKUP(1,(Asignaciones[N° Asp]=$A27)*(Asignaciones[Semana]=VALUE(SUBSTITUTE(C$1,"Semana ",""))),Asignaciones[Servicio],"")</f>
        <v/>
      </c>
      <c r="D27" s="8" t="str" cm="1">
        <f t="array" ref="D27">_xlfn.XLOOKUP(1,(Asignaciones[N° Asp]=$A27)*(Asignaciones[Semana]=VALUE(SUBSTITUTE(D$1,"Semana ",""))),Asignaciones[Servicio],"")</f>
        <v/>
      </c>
      <c r="E27" s="8" t="str" cm="1">
        <f t="array" ref="E27">_xlfn.XLOOKUP(1,(Asignaciones[N° Asp]=$A27)*(Asignaciones[Semana]=VALUE(SUBSTITUTE(E$1,"Semana ",""))),Asignaciones[Servicio],"")</f>
        <v>GM</v>
      </c>
      <c r="F27" s="8" t="str" cm="1">
        <f t="array" ref="F27">_xlfn.XLOOKUP(1,(Asignaciones[N° Asp]=$A27)*(Asignaciones[Semana]=VALUE(SUBSTITUTE(F$1,"Semana ",""))),Asignaciones[Servicio],"")</f>
        <v/>
      </c>
      <c r="G27" s="8" t="str" cm="1">
        <f t="array" ref="G27">_xlfn.XLOOKUP(1,(Asignaciones[N° Asp]=$A27)*(Asignaciones[Semana]=VALUE(SUBSTITUTE(G$1,"Semana ",""))),Asignaciones[Servicio],"")</f>
        <v/>
      </c>
      <c r="H27" s="8" t="str" cm="1">
        <f t="array" ref="H27">_xlfn.XLOOKUP(1,(Asignaciones[N° Asp]=$A27)*(Asignaciones[Semana]=VALUE(SUBSTITUTE(H$1,"Semana ",""))),Asignaciones[Servicio],"")</f>
        <v/>
      </c>
      <c r="I27" s="8" t="str" cm="1">
        <f t="array" ref="I27">_xlfn.XLOOKUP(1,(Asignaciones[N° Asp]=$A27)*(Asignaciones[Semana]=VALUE(SUBSTITUTE(I$1,"Semana ",""))),Asignaciones[Servicio],"")</f>
        <v/>
      </c>
      <c r="J27" s="5" t="str" cm="1">
        <f t="array" ref="J27">_xlfn.XLOOKUP(1,(Asignaciones[N° Asp]=$A27)*(Asignaciones[Semana]=VALUE(SUBSTITUTE(J$1,"Semana ",""))),Asignaciones[Servicio],"")</f>
        <v/>
      </c>
      <c r="K27" s="6" t="str" cm="1">
        <f t="array" ref="K27">_xlfn.XLOOKUP(1,(Asignaciones[N° Asp]=$A27)*(Asignaciones[Semana]=VALUE(SUBSTITUTE(K$1,"Semana ",""))),Asignaciones[Servicio],"")</f>
        <v/>
      </c>
      <c r="L27" s="8" t="str" cm="1">
        <f t="array" ref="L27">_xlfn.XLOOKUP(1,(Asignaciones[N° Asp]=$A27)*(Asignaciones[Semana]=VALUE(SUBSTITUTE(L$1,"Semana ",""))),Asignaciones[Servicio],"")</f>
        <v/>
      </c>
      <c r="M27" s="8" t="str" cm="1">
        <f t="array" ref="M27">_xlfn.XLOOKUP(1,(Asignaciones[N° Asp]=$A27)*(Asignaciones[Semana]=VALUE(SUBSTITUTE(M$1,"Semana ",""))),Asignaciones[Servicio],"")</f>
        <v/>
      </c>
      <c r="N27" s="8" t="str" cm="1">
        <f t="array" ref="N27">_xlfn.XLOOKUP(1,(Asignaciones[N° Asp]=$A27)*(Asignaciones[Semana]=VALUE(SUBSTITUTE(N$1,"Semana ",""))),Asignaciones[Servicio],"")</f>
        <v/>
      </c>
      <c r="O27" s="8" t="str" cm="1">
        <f t="array" ref="O27">_xlfn.XLOOKUP(1,(Asignaciones[N° Asp]=$A27)*(Asignaciones[Semana]=VALUE(SUBSTITUTE(O$1,"Semana ",""))),Asignaciones[Servicio],"")</f>
        <v/>
      </c>
    </row>
    <row r="28" spans="1:15" x14ac:dyDescent="0.3">
      <c r="A28" s="10">
        <v>25</v>
      </c>
      <c r="B28" s="8" t="str">
        <v>MARIA</v>
      </c>
      <c r="C28" s="29" t="str" cm="1">
        <f t="array" ref="C28">_xlfn.XLOOKUP(1,(Asignaciones[N° Asp]=$A28)*(Asignaciones[Semana]=VALUE(SUBSTITUTE(C$1,"Semana ",""))),Asignaciones[Servicio],"")</f>
        <v/>
      </c>
      <c r="D28" s="8" t="str" cm="1">
        <f t="array" ref="D28">_xlfn.XLOOKUP(1,(Asignaciones[N° Asp]=$A28)*(Asignaciones[Semana]=VALUE(SUBSTITUTE(D$1,"Semana ",""))),Asignaciones[Servicio],"")</f>
        <v/>
      </c>
      <c r="E28" s="8" t="str" cm="1">
        <f t="array" ref="E28">_xlfn.XLOOKUP(1,(Asignaciones[N° Asp]=$A28)*(Asignaciones[Semana]=VALUE(SUBSTITUTE(E$1,"Semana ",""))),Asignaciones[Servicio],"")</f>
        <v/>
      </c>
      <c r="F28" s="8" t="str" cm="1">
        <f t="array" ref="F28">_xlfn.XLOOKUP(1,(Asignaciones[N° Asp]=$A28)*(Asignaciones[Semana]=VALUE(SUBSTITUTE(F$1,"Semana ",""))),Asignaciones[Servicio],"")</f>
        <v/>
      </c>
      <c r="G28" s="8" t="str" cm="1">
        <f t="array" ref="G28">_xlfn.XLOOKUP(1,(Asignaciones[N° Asp]=$A28)*(Asignaciones[Semana]=VALUE(SUBSTITUTE(G$1,"Semana ",""))),Asignaciones[Servicio],"")</f>
        <v/>
      </c>
      <c r="H28" s="8" t="str" cm="1">
        <f t="array" ref="H28">_xlfn.XLOOKUP(1,(Asignaciones[N° Asp]=$A28)*(Asignaciones[Semana]=VALUE(SUBSTITUTE(H$1,"Semana ",""))),Asignaciones[Servicio],"")</f>
        <v/>
      </c>
      <c r="I28" s="8" t="str" cm="1">
        <f t="array" ref="I28">_xlfn.XLOOKUP(1,(Asignaciones[N° Asp]=$A28)*(Asignaciones[Semana]=VALUE(SUBSTITUTE(I$1,"Semana ",""))),Asignaciones[Servicio],"")</f>
        <v/>
      </c>
      <c r="J28" s="5" t="str" cm="1">
        <f t="array" ref="J28">_xlfn.XLOOKUP(1,(Asignaciones[N° Asp]=$A28)*(Asignaciones[Semana]=VALUE(SUBSTITUTE(J$1,"Semana ",""))),Asignaciones[Servicio],"")</f>
        <v/>
      </c>
      <c r="K28" s="6" t="str" cm="1">
        <f t="array" ref="K28">_xlfn.XLOOKUP(1,(Asignaciones[N° Asp]=$A28)*(Asignaciones[Semana]=VALUE(SUBSTITUTE(K$1,"Semana ",""))),Asignaciones[Servicio],"")</f>
        <v/>
      </c>
      <c r="L28" s="8" t="str" cm="1">
        <f t="array" ref="L28">_xlfn.XLOOKUP(1,(Asignaciones[N° Asp]=$A28)*(Asignaciones[Semana]=VALUE(SUBSTITUTE(L$1,"Semana ",""))),Asignaciones[Servicio],"")</f>
        <v/>
      </c>
      <c r="M28" s="8" t="str" cm="1">
        <f t="array" ref="M28">_xlfn.XLOOKUP(1,(Asignaciones[N° Asp]=$A28)*(Asignaciones[Semana]=VALUE(SUBSTITUTE(M$1,"Semana ",""))),Asignaciones[Servicio],"")</f>
        <v/>
      </c>
      <c r="N28" s="8" t="str" cm="1">
        <f t="array" ref="N28">_xlfn.XLOOKUP(1,(Asignaciones[N° Asp]=$A28)*(Asignaciones[Semana]=VALUE(SUBSTITUTE(N$1,"Semana ",""))),Asignaciones[Servicio],"")</f>
        <v/>
      </c>
      <c r="O28" s="8" t="str" cm="1">
        <f t="array" ref="O28">_xlfn.XLOOKUP(1,(Asignaciones[N° Asp]=$A28)*(Asignaciones[Semana]=VALUE(SUBSTITUTE(O$1,"Semana ",""))),Asignaciones[Servicio],"")</f>
        <v/>
      </c>
    </row>
    <row r="29" spans="1:15" x14ac:dyDescent="0.3">
      <c r="A29" s="10">
        <v>26</v>
      </c>
      <c r="B29" s="8" t="str">
        <v>MARIBEL</v>
      </c>
      <c r="C29" s="29" t="str" cm="1">
        <f t="array" ref="C29">_xlfn.XLOOKUP(1,(Asignaciones[N° Asp]=$A29)*(Asignaciones[Semana]=VALUE(SUBSTITUTE(C$1,"Semana ",""))),Asignaciones[Servicio],"")</f>
        <v/>
      </c>
      <c r="D29" s="8" t="str" cm="1">
        <f t="array" ref="D29">_xlfn.XLOOKUP(1,(Asignaciones[N° Asp]=$A29)*(Asignaciones[Semana]=VALUE(SUBSTITUTE(D$1,"Semana ",""))),Asignaciones[Servicio],"")</f>
        <v/>
      </c>
      <c r="E29" s="8" t="str" cm="1">
        <f t="array" ref="E29">_xlfn.XLOOKUP(1,(Asignaciones[N° Asp]=$A29)*(Asignaciones[Semana]=VALUE(SUBSTITUTE(E$1,"Semana ",""))),Asignaciones[Servicio],"")</f>
        <v/>
      </c>
      <c r="F29" s="8" t="str" cm="1">
        <f t="array" ref="F29">_xlfn.XLOOKUP(1,(Asignaciones[N° Asp]=$A29)*(Asignaciones[Semana]=VALUE(SUBSTITUTE(F$1,"Semana ",""))),Asignaciones[Servicio],"")</f>
        <v/>
      </c>
      <c r="G29" s="8" t="str" cm="1">
        <f t="array" ref="G29">_xlfn.XLOOKUP(1,(Asignaciones[N° Asp]=$A29)*(Asignaciones[Semana]=VALUE(SUBSTITUTE(G$1,"Semana ",""))),Asignaciones[Servicio],"")</f>
        <v/>
      </c>
      <c r="H29" s="8" t="str" cm="1">
        <f t="array" ref="H29">_xlfn.XLOOKUP(1,(Asignaciones[N° Asp]=$A29)*(Asignaciones[Semana]=VALUE(SUBSTITUTE(H$1,"Semana ",""))),Asignaciones[Servicio],"")</f>
        <v/>
      </c>
      <c r="I29" s="8" t="str" cm="1">
        <f t="array" ref="I29">_xlfn.XLOOKUP(1,(Asignaciones[N° Asp]=$A29)*(Asignaciones[Semana]=VALUE(SUBSTITUTE(I$1,"Semana ",""))),Asignaciones[Servicio],"")</f>
        <v/>
      </c>
      <c r="J29" s="5" t="str" cm="1">
        <f t="array" ref="J29">_xlfn.XLOOKUP(1,(Asignaciones[N° Asp]=$A29)*(Asignaciones[Semana]=VALUE(SUBSTITUTE(J$1,"Semana ",""))),Asignaciones[Servicio],"")</f>
        <v/>
      </c>
      <c r="K29" s="6" t="str" cm="1">
        <f t="array" ref="K29">_xlfn.XLOOKUP(1,(Asignaciones[N° Asp]=$A29)*(Asignaciones[Semana]=VALUE(SUBSTITUTE(K$1,"Semana ",""))),Asignaciones[Servicio],"")</f>
        <v/>
      </c>
      <c r="L29" s="8" t="str" cm="1">
        <f t="array" ref="L29">_xlfn.XLOOKUP(1,(Asignaciones[N° Asp]=$A29)*(Asignaciones[Semana]=VALUE(SUBSTITUTE(L$1,"Semana ",""))),Asignaciones[Servicio],"")</f>
        <v/>
      </c>
      <c r="M29" s="8" t="str" cm="1">
        <f t="array" ref="M29">_xlfn.XLOOKUP(1,(Asignaciones[N° Asp]=$A29)*(Asignaciones[Semana]=VALUE(SUBSTITUTE(M$1,"Semana ",""))),Asignaciones[Servicio],"")</f>
        <v/>
      </c>
      <c r="N29" s="8" t="str" cm="1">
        <f t="array" ref="N29">_xlfn.XLOOKUP(1,(Asignaciones[N° Asp]=$A29)*(Asignaciones[Semana]=VALUE(SUBSTITUTE(N$1,"Semana ",""))),Asignaciones[Servicio],"")</f>
        <v/>
      </c>
      <c r="O29" s="8" t="str" cm="1">
        <f t="array" ref="O29">_xlfn.XLOOKUP(1,(Asignaciones[N° Asp]=$A29)*(Asignaciones[Semana]=VALUE(SUBSTITUTE(O$1,"Semana ",""))),Asignaciones[Servicio],"")</f>
        <v/>
      </c>
    </row>
    <row r="30" spans="1:15" x14ac:dyDescent="0.3">
      <c r="A30" s="10">
        <v>27</v>
      </c>
      <c r="B30" s="8" t="str">
        <v>MARTIN</v>
      </c>
      <c r="C30" s="29" t="str" cm="1">
        <f t="array" ref="C30">_xlfn.XLOOKUP(1,(Asignaciones[N° Asp]=$A30)*(Asignaciones[Semana]=VALUE(SUBSTITUTE(C$1,"Semana ",""))),Asignaciones[Servicio],"")</f>
        <v/>
      </c>
      <c r="D30" s="8" t="str" cm="1">
        <f t="array" ref="D30">_xlfn.XLOOKUP(1,(Asignaciones[N° Asp]=$A30)*(Asignaciones[Semana]=VALUE(SUBSTITUTE(D$1,"Semana ",""))),Asignaciones[Servicio],"")</f>
        <v/>
      </c>
      <c r="E30" s="8" t="str" cm="1">
        <f t="array" ref="E30">_xlfn.XLOOKUP(1,(Asignaciones[N° Asp]=$A30)*(Asignaciones[Semana]=VALUE(SUBSTITUTE(E$1,"Semana ",""))),Asignaciones[Servicio],"")</f>
        <v/>
      </c>
      <c r="F30" s="8" t="str" cm="1">
        <f t="array" ref="F30">_xlfn.XLOOKUP(1,(Asignaciones[N° Asp]=$A30)*(Asignaciones[Semana]=VALUE(SUBSTITUTE(F$1,"Semana ",""))),Asignaciones[Servicio],"")</f>
        <v/>
      </c>
      <c r="G30" s="8" t="str" cm="1">
        <f t="array" ref="G30">_xlfn.XLOOKUP(1,(Asignaciones[N° Asp]=$A30)*(Asignaciones[Semana]=VALUE(SUBSTITUTE(G$1,"Semana ",""))),Asignaciones[Servicio],"")</f>
        <v/>
      </c>
      <c r="H30" s="8" t="str" cm="1">
        <f t="array" ref="H30">_xlfn.XLOOKUP(1,(Asignaciones[N° Asp]=$A30)*(Asignaciones[Semana]=VALUE(SUBSTITUTE(H$1,"Semana ",""))),Asignaciones[Servicio],"")</f>
        <v/>
      </c>
      <c r="I30" s="8" t="str" cm="1">
        <f t="array" ref="I30">_xlfn.XLOOKUP(1,(Asignaciones[N° Asp]=$A30)*(Asignaciones[Semana]=VALUE(SUBSTITUTE(I$1,"Semana ",""))),Asignaciones[Servicio],"")</f>
        <v/>
      </c>
      <c r="J30" s="5" t="str" cm="1">
        <f t="array" ref="J30">_xlfn.XLOOKUP(1,(Asignaciones[N° Asp]=$A30)*(Asignaciones[Semana]=VALUE(SUBSTITUTE(J$1,"Semana ",""))),Asignaciones[Servicio],"")</f>
        <v/>
      </c>
      <c r="K30" s="6" t="str" cm="1">
        <f t="array" ref="K30">_xlfn.XLOOKUP(1,(Asignaciones[N° Asp]=$A30)*(Asignaciones[Semana]=VALUE(SUBSTITUTE(K$1,"Semana ",""))),Asignaciones[Servicio],"")</f>
        <v/>
      </c>
      <c r="L30" s="8" t="str" cm="1">
        <f t="array" ref="L30">_xlfn.XLOOKUP(1,(Asignaciones[N° Asp]=$A30)*(Asignaciones[Semana]=VALUE(SUBSTITUTE(L$1,"Semana ",""))),Asignaciones[Servicio],"")</f>
        <v/>
      </c>
      <c r="M30" s="8" t="str" cm="1">
        <f t="array" ref="M30">_xlfn.XLOOKUP(1,(Asignaciones[N° Asp]=$A30)*(Asignaciones[Semana]=VALUE(SUBSTITUTE(M$1,"Semana ",""))),Asignaciones[Servicio],"")</f>
        <v/>
      </c>
      <c r="N30" s="8" t="str" cm="1">
        <f t="array" ref="N30">_xlfn.XLOOKUP(1,(Asignaciones[N° Asp]=$A30)*(Asignaciones[Semana]=VALUE(SUBSTITUTE(N$1,"Semana ",""))),Asignaciones[Servicio],"")</f>
        <v/>
      </c>
      <c r="O30" s="8" t="str" cm="1">
        <f t="array" ref="O30">_xlfn.XLOOKUP(1,(Asignaciones[N° Asp]=$A30)*(Asignaciones[Semana]=VALUE(SUBSTITUTE(O$1,"Semana ",""))),Asignaciones[Servicio],"")</f>
        <v/>
      </c>
    </row>
    <row r="31" spans="1:15" x14ac:dyDescent="0.3">
      <c r="A31" s="10">
        <v>28</v>
      </c>
      <c r="B31" s="8" t="str">
        <v>MARTINA</v>
      </c>
      <c r="C31" s="29" t="str" cm="1">
        <f t="array" ref="C31">_xlfn.XLOOKUP(1,(Asignaciones[N° Asp]=$A31)*(Asignaciones[Semana]=VALUE(SUBSTITUTE(C$1,"Semana ",""))),Asignaciones[Servicio],"")</f>
        <v/>
      </c>
      <c r="D31" s="8" t="str" cm="1">
        <f t="array" ref="D31">_xlfn.XLOOKUP(1,(Asignaciones[N° Asp]=$A31)*(Asignaciones[Semana]=VALUE(SUBSTITUTE(D$1,"Semana ",""))),Asignaciones[Servicio],"")</f>
        <v/>
      </c>
      <c r="E31" s="8" t="str" cm="1">
        <f t="array" ref="E31">_xlfn.XLOOKUP(1,(Asignaciones[N° Asp]=$A31)*(Asignaciones[Semana]=VALUE(SUBSTITUTE(E$1,"Semana ",""))),Asignaciones[Servicio],"")</f>
        <v/>
      </c>
      <c r="F31" s="8" t="str" cm="1">
        <f t="array" ref="F31">_xlfn.XLOOKUP(1,(Asignaciones[N° Asp]=$A31)*(Asignaciones[Semana]=VALUE(SUBSTITUTE(F$1,"Semana ",""))),Asignaciones[Servicio],"")</f>
        <v/>
      </c>
      <c r="G31" s="8" t="str" cm="1">
        <f t="array" ref="G31">_xlfn.XLOOKUP(1,(Asignaciones[N° Asp]=$A31)*(Asignaciones[Semana]=VALUE(SUBSTITUTE(G$1,"Semana ",""))),Asignaciones[Servicio],"")</f>
        <v/>
      </c>
      <c r="H31" s="8" t="str" cm="1">
        <f t="array" ref="H31">_xlfn.XLOOKUP(1,(Asignaciones[N° Asp]=$A31)*(Asignaciones[Semana]=VALUE(SUBSTITUTE(H$1,"Semana ",""))),Asignaciones[Servicio],"")</f>
        <v/>
      </c>
      <c r="I31" s="8" t="str" cm="1">
        <f t="array" ref="I31">_xlfn.XLOOKUP(1,(Asignaciones[N° Asp]=$A31)*(Asignaciones[Semana]=VALUE(SUBSTITUTE(I$1,"Semana ",""))),Asignaciones[Servicio],"")</f>
        <v/>
      </c>
      <c r="J31" s="5" t="str" cm="1">
        <f t="array" ref="J31">_xlfn.XLOOKUP(1,(Asignaciones[N° Asp]=$A31)*(Asignaciones[Semana]=VALUE(SUBSTITUTE(J$1,"Semana ",""))),Asignaciones[Servicio],"")</f>
        <v/>
      </c>
      <c r="K31" s="6" t="str" cm="1">
        <f t="array" ref="K31">_xlfn.XLOOKUP(1,(Asignaciones[N° Asp]=$A31)*(Asignaciones[Semana]=VALUE(SUBSTITUTE(K$1,"Semana ",""))),Asignaciones[Servicio],"")</f>
        <v/>
      </c>
      <c r="L31" s="8" t="str" cm="1">
        <f t="array" ref="L31">_xlfn.XLOOKUP(1,(Asignaciones[N° Asp]=$A31)*(Asignaciones[Semana]=VALUE(SUBSTITUTE(L$1,"Semana ",""))),Asignaciones[Servicio],"")</f>
        <v/>
      </c>
      <c r="M31" s="8" t="str" cm="1">
        <f t="array" ref="M31">_xlfn.XLOOKUP(1,(Asignaciones[N° Asp]=$A31)*(Asignaciones[Semana]=VALUE(SUBSTITUTE(M$1,"Semana ",""))),Asignaciones[Servicio],"")</f>
        <v/>
      </c>
      <c r="N31" s="8" t="str" cm="1">
        <f t="array" ref="N31">_xlfn.XLOOKUP(1,(Asignaciones[N° Asp]=$A31)*(Asignaciones[Semana]=VALUE(SUBSTITUTE(N$1,"Semana ",""))),Asignaciones[Servicio],"")</f>
        <v/>
      </c>
      <c r="O31" s="8" t="str" cm="1">
        <f t="array" ref="O31">_xlfn.XLOOKUP(1,(Asignaciones[N° Asp]=$A31)*(Asignaciones[Semana]=VALUE(SUBSTITUTE(O$1,"Semana ",""))),Asignaciones[Servicio],"")</f>
        <v/>
      </c>
    </row>
    <row r="32" spans="1:15" x14ac:dyDescent="0.3">
      <c r="A32" s="10">
        <v>29</v>
      </c>
      <c r="B32" s="8" t="str">
        <v>MAURICIO</v>
      </c>
      <c r="C32" s="29" t="str" cm="1">
        <f t="array" ref="C32">_xlfn.XLOOKUP(1,(Asignaciones[N° Asp]=$A32)*(Asignaciones[Semana]=VALUE(SUBSTITUTE(C$1,"Semana ",""))),Asignaciones[Servicio],"")</f>
        <v/>
      </c>
      <c r="D32" s="8" t="str" cm="1">
        <f t="array" ref="D32">_xlfn.XLOOKUP(1,(Asignaciones[N° Asp]=$A32)*(Asignaciones[Semana]=VALUE(SUBSTITUTE(D$1,"Semana ",""))),Asignaciones[Servicio],"")</f>
        <v/>
      </c>
      <c r="E32" s="8" t="str" cm="1">
        <f t="array" ref="E32">_xlfn.XLOOKUP(1,(Asignaciones[N° Asp]=$A32)*(Asignaciones[Semana]=VALUE(SUBSTITUTE(E$1,"Semana ",""))),Asignaciones[Servicio],"")</f>
        <v/>
      </c>
      <c r="F32" s="8" t="str" cm="1">
        <f t="array" ref="F32">_xlfn.XLOOKUP(1,(Asignaciones[N° Asp]=$A32)*(Asignaciones[Semana]=VALUE(SUBSTITUTE(F$1,"Semana ",""))),Asignaciones[Servicio],"")</f>
        <v/>
      </c>
      <c r="G32" s="8" t="str" cm="1">
        <f t="array" ref="G32">_xlfn.XLOOKUP(1,(Asignaciones[N° Asp]=$A32)*(Asignaciones[Semana]=VALUE(SUBSTITUTE(G$1,"Semana ",""))),Asignaciones[Servicio],"")</f>
        <v/>
      </c>
      <c r="H32" s="8" t="str" cm="1">
        <f t="array" ref="H32">_xlfn.XLOOKUP(1,(Asignaciones[N° Asp]=$A32)*(Asignaciones[Semana]=VALUE(SUBSTITUTE(H$1,"Semana ",""))),Asignaciones[Servicio],"")</f>
        <v/>
      </c>
      <c r="I32" s="8" t="str" cm="1">
        <f t="array" ref="I32">_xlfn.XLOOKUP(1,(Asignaciones[N° Asp]=$A32)*(Asignaciones[Semana]=VALUE(SUBSTITUTE(I$1,"Semana ",""))),Asignaciones[Servicio],"")</f>
        <v/>
      </c>
      <c r="J32" s="5" t="str" cm="1">
        <f t="array" ref="J32">_xlfn.XLOOKUP(1,(Asignaciones[N° Asp]=$A32)*(Asignaciones[Semana]=VALUE(SUBSTITUTE(J$1,"Semana ",""))),Asignaciones[Servicio],"")</f>
        <v/>
      </c>
      <c r="K32" s="6" t="str" cm="1">
        <f t="array" ref="K32">_xlfn.XLOOKUP(1,(Asignaciones[N° Asp]=$A32)*(Asignaciones[Semana]=VALUE(SUBSTITUTE(K$1,"Semana ",""))),Asignaciones[Servicio],"")</f>
        <v/>
      </c>
      <c r="L32" s="8" t="str" cm="1">
        <f t="array" ref="L32">_xlfn.XLOOKUP(1,(Asignaciones[N° Asp]=$A32)*(Asignaciones[Semana]=VALUE(SUBSTITUTE(L$1,"Semana ",""))),Asignaciones[Servicio],"")</f>
        <v/>
      </c>
      <c r="M32" s="8" t="str" cm="1">
        <f t="array" ref="M32">_xlfn.XLOOKUP(1,(Asignaciones[N° Asp]=$A32)*(Asignaciones[Semana]=VALUE(SUBSTITUTE(M$1,"Semana ",""))),Asignaciones[Servicio],"")</f>
        <v/>
      </c>
      <c r="N32" s="8" t="str" cm="1">
        <f t="array" ref="N32">_xlfn.XLOOKUP(1,(Asignaciones[N° Asp]=$A32)*(Asignaciones[Semana]=VALUE(SUBSTITUTE(N$1,"Semana ",""))),Asignaciones[Servicio],"")</f>
        <v/>
      </c>
      <c r="O32" s="8" t="str" cm="1">
        <f t="array" ref="O32">_xlfn.XLOOKUP(1,(Asignaciones[N° Asp]=$A32)*(Asignaciones[Semana]=VALUE(SUBSTITUTE(O$1,"Semana ",""))),Asignaciones[Servicio],"")</f>
        <v/>
      </c>
    </row>
    <row r="33" spans="1:15" x14ac:dyDescent="0.3">
      <c r="A33" s="10">
        <v>30</v>
      </c>
      <c r="B33" s="8" t="str">
        <v>MERCEDES</v>
      </c>
      <c r="C33" s="29" t="str" cm="1">
        <f t="array" ref="C33">_xlfn.XLOOKUP(1,(Asignaciones[N° Asp]=$A33)*(Asignaciones[Semana]=VALUE(SUBSTITUTE(C$1,"Semana ",""))),Asignaciones[Servicio],"")</f>
        <v/>
      </c>
      <c r="D33" s="8" t="str" cm="1">
        <f t="array" ref="D33">_xlfn.XLOOKUP(1,(Asignaciones[N° Asp]=$A33)*(Asignaciones[Semana]=VALUE(SUBSTITUTE(D$1,"Semana ",""))),Asignaciones[Servicio],"")</f>
        <v/>
      </c>
      <c r="E33" s="8" t="str" cm="1">
        <f t="array" ref="E33">_xlfn.XLOOKUP(1,(Asignaciones[N° Asp]=$A33)*(Asignaciones[Semana]=VALUE(SUBSTITUTE(E$1,"Semana ",""))),Asignaciones[Servicio],"")</f>
        <v>CENTRO OBS</v>
      </c>
      <c r="F33" s="8" t="str" cm="1">
        <f t="array" ref="F33">_xlfn.XLOOKUP(1,(Asignaciones[N° Asp]=$A33)*(Asignaciones[Semana]=VALUE(SUBSTITUTE(F$1,"Semana ",""))),Asignaciones[Servicio],"")</f>
        <v/>
      </c>
      <c r="G33" s="8" t="str" cm="1">
        <f t="array" ref="G33">_xlfn.XLOOKUP(1,(Asignaciones[N° Asp]=$A33)*(Asignaciones[Semana]=VALUE(SUBSTITUTE(G$1,"Semana ",""))),Asignaciones[Servicio],"")</f>
        <v/>
      </c>
      <c r="H33" s="8" t="str" cm="1">
        <f t="array" ref="H33">_xlfn.XLOOKUP(1,(Asignaciones[N° Asp]=$A33)*(Asignaciones[Semana]=VALUE(SUBSTITUTE(H$1,"Semana ",""))),Asignaciones[Servicio],"")</f>
        <v/>
      </c>
      <c r="I33" s="8" t="str" cm="1">
        <f t="array" ref="I33">_xlfn.XLOOKUP(1,(Asignaciones[N° Asp]=$A33)*(Asignaciones[Semana]=VALUE(SUBSTITUTE(I$1,"Semana ",""))),Asignaciones[Servicio],"")</f>
        <v/>
      </c>
      <c r="J33" s="5" t="str" cm="1">
        <f t="array" ref="J33">_xlfn.XLOOKUP(1,(Asignaciones[N° Asp]=$A33)*(Asignaciones[Semana]=VALUE(SUBSTITUTE(J$1,"Semana ",""))),Asignaciones[Servicio],"")</f>
        <v/>
      </c>
      <c r="K33" s="6" t="str" cm="1">
        <f t="array" ref="K33">_xlfn.XLOOKUP(1,(Asignaciones[N° Asp]=$A33)*(Asignaciones[Semana]=VALUE(SUBSTITUTE(K$1,"Semana ",""))),Asignaciones[Servicio],"")</f>
        <v/>
      </c>
      <c r="L33" s="8" t="str" cm="1">
        <f t="array" ref="L33">_xlfn.XLOOKUP(1,(Asignaciones[N° Asp]=$A33)*(Asignaciones[Semana]=VALUE(SUBSTITUTE(L$1,"Semana ",""))),Asignaciones[Servicio],"")</f>
        <v/>
      </c>
      <c r="M33" s="8" t="str" cm="1">
        <f t="array" ref="M33">_xlfn.XLOOKUP(1,(Asignaciones[N° Asp]=$A33)*(Asignaciones[Semana]=VALUE(SUBSTITUTE(M$1,"Semana ",""))),Asignaciones[Servicio],"")</f>
        <v/>
      </c>
      <c r="N33" s="8" t="str" cm="1">
        <f t="array" ref="N33">_xlfn.XLOOKUP(1,(Asignaciones[N° Asp]=$A33)*(Asignaciones[Semana]=VALUE(SUBSTITUTE(N$1,"Semana ",""))),Asignaciones[Servicio],"")</f>
        <v/>
      </c>
      <c r="O33" s="8" t="str" cm="1">
        <f t="array" ref="O33">_xlfn.XLOOKUP(1,(Asignaciones[N° Asp]=$A33)*(Asignaciones[Semana]=VALUE(SUBSTITUTE(O$1,"Semana ",""))),Asignaciones[Servicio],"")</f>
        <v/>
      </c>
    </row>
    <row r="34" spans="1:15" x14ac:dyDescent="0.3">
      <c r="A34" s="10">
        <v>31</v>
      </c>
      <c r="B34" s="8" t="str">
        <v>NAHIR</v>
      </c>
      <c r="C34" s="29" t="str" cm="1">
        <f t="array" ref="C34">_xlfn.XLOOKUP(1,(Asignaciones[N° Asp]=$A34)*(Asignaciones[Semana]=VALUE(SUBSTITUTE(C$1,"Semana ",""))),Asignaciones[Servicio],"")</f>
        <v/>
      </c>
      <c r="D34" s="8" t="str" cm="1">
        <f t="array" ref="D34">_xlfn.XLOOKUP(1,(Asignaciones[N° Asp]=$A34)*(Asignaciones[Semana]=VALUE(SUBSTITUTE(D$1,"Semana ",""))),Asignaciones[Servicio],"")</f>
        <v/>
      </c>
      <c r="E34" s="8" t="str" cm="1">
        <f t="array" ref="E34">_xlfn.XLOOKUP(1,(Asignaciones[N° Asp]=$A34)*(Asignaciones[Semana]=VALUE(SUBSTITUTE(E$1,"Semana ",""))),Asignaciones[Servicio],"")</f>
        <v>GM</v>
      </c>
      <c r="F34" s="8" t="str" cm="1">
        <f t="array" ref="F34">_xlfn.XLOOKUP(1,(Asignaciones[N° Asp]=$A34)*(Asignaciones[Semana]=VALUE(SUBSTITUTE(F$1,"Semana ",""))),Asignaciones[Servicio],"")</f>
        <v/>
      </c>
      <c r="G34" s="8" t="str" cm="1">
        <f t="array" ref="G34">_xlfn.XLOOKUP(1,(Asignaciones[N° Asp]=$A34)*(Asignaciones[Semana]=VALUE(SUBSTITUTE(G$1,"Semana ",""))),Asignaciones[Servicio],"")</f>
        <v/>
      </c>
      <c r="H34" s="8" t="str" cm="1">
        <f t="array" ref="H34">_xlfn.XLOOKUP(1,(Asignaciones[N° Asp]=$A34)*(Asignaciones[Semana]=VALUE(SUBSTITUTE(H$1,"Semana ",""))),Asignaciones[Servicio],"")</f>
        <v/>
      </c>
      <c r="I34" s="8" t="str" cm="1">
        <f t="array" ref="I34">_xlfn.XLOOKUP(1,(Asignaciones[N° Asp]=$A34)*(Asignaciones[Semana]=VALUE(SUBSTITUTE(I$1,"Semana ",""))),Asignaciones[Servicio],"")</f>
        <v/>
      </c>
      <c r="J34" s="5" t="str" cm="1">
        <f t="array" ref="J34">_xlfn.XLOOKUP(1,(Asignaciones[N° Asp]=$A34)*(Asignaciones[Semana]=VALUE(SUBSTITUTE(J$1,"Semana ",""))),Asignaciones[Servicio],"")</f>
        <v/>
      </c>
      <c r="K34" s="6" t="str" cm="1">
        <f t="array" ref="K34">_xlfn.XLOOKUP(1,(Asignaciones[N° Asp]=$A34)*(Asignaciones[Semana]=VALUE(SUBSTITUTE(K$1,"Semana ",""))),Asignaciones[Servicio],"")</f>
        <v/>
      </c>
      <c r="L34" s="8" t="str" cm="1">
        <f t="array" ref="L34">_xlfn.XLOOKUP(1,(Asignaciones[N° Asp]=$A34)*(Asignaciones[Semana]=VALUE(SUBSTITUTE(L$1,"Semana ",""))),Asignaciones[Servicio],"")</f>
        <v/>
      </c>
      <c r="M34" s="8" t="str" cm="1">
        <f t="array" ref="M34">_xlfn.XLOOKUP(1,(Asignaciones[N° Asp]=$A34)*(Asignaciones[Semana]=VALUE(SUBSTITUTE(M$1,"Semana ",""))),Asignaciones[Servicio],"")</f>
        <v/>
      </c>
      <c r="N34" s="8" t="str" cm="1">
        <f t="array" ref="N34">_xlfn.XLOOKUP(1,(Asignaciones[N° Asp]=$A34)*(Asignaciones[Semana]=VALUE(SUBSTITUTE(N$1,"Semana ",""))),Asignaciones[Servicio],"")</f>
        <v/>
      </c>
      <c r="O34" s="8" t="str" cm="1">
        <f t="array" ref="O34">_xlfn.XLOOKUP(1,(Asignaciones[N° Asp]=$A34)*(Asignaciones[Semana]=VALUE(SUBSTITUTE(O$1,"Semana ",""))),Asignaciones[Servicio],"")</f>
        <v/>
      </c>
    </row>
    <row r="35" spans="1:15" x14ac:dyDescent="0.3">
      <c r="A35" s="10">
        <v>32</v>
      </c>
      <c r="B35" s="8" t="str">
        <v>NICOL</v>
      </c>
      <c r="C35" s="29" t="str" cm="1">
        <f t="array" ref="C35">_xlfn.XLOOKUP(1,(Asignaciones[N° Asp]=$A35)*(Asignaciones[Semana]=VALUE(SUBSTITUTE(C$1,"Semana ",""))),Asignaciones[Servicio],"")</f>
        <v/>
      </c>
      <c r="D35" s="8" t="str" cm="1">
        <f t="array" ref="D35">_xlfn.XLOOKUP(1,(Asignaciones[N° Asp]=$A35)*(Asignaciones[Semana]=VALUE(SUBSTITUTE(D$1,"Semana ",""))),Asignaciones[Servicio],"")</f>
        <v/>
      </c>
      <c r="E35" s="8" t="str" cm="1">
        <f t="array" ref="E35">_xlfn.XLOOKUP(1,(Asignaciones[N° Asp]=$A35)*(Asignaciones[Semana]=VALUE(SUBSTITUTE(E$1,"Semana ",""))),Asignaciones[Servicio],"")</f>
        <v/>
      </c>
      <c r="F35" s="8" t="str" cm="1">
        <f t="array" ref="F35">_xlfn.XLOOKUP(1,(Asignaciones[N° Asp]=$A35)*(Asignaciones[Semana]=VALUE(SUBSTITUTE(F$1,"Semana ",""))),Asignaciones[Servicio],"")</f>
        <v/>
      </c>
      <c r="G35" s="8" t="str" cm="1">
        <f t="array" ref="G35">_xlfn.XLOOKUP(1,(Asignaciones[N° Asp]=$A35)*(Asignaciones[Semana]=VALUE(SUBSTITUTE(G$1,"Semana ",""))),Asignaciones[Servicio],"")</f>
        <v/>
      </c>
      <c r="H35" s="8" t="str" cm="1">
        <f t="array" ref="H35">_xlfn.XLOOKUP(1,(Asignaciones[N° Asp]=$A35)*(Asignaciones[Semana]=VALUE(SUBSTITUTE(H$1,"Semana ",""))),Asignaciones[Servicio],"")</f>
        <v/>
      </c>
      <c r="I35" s="8" t="str" cm="1">
        <f t="array" ref="I35">_xlfn.XLOOKUP(1,(Asignaciones[N° Asp]=$A35)*(Asignaciones[Semana]=VALUE(SUBSTITUTE(I$1,"Semana ",""))),Asignaciones[Servicio],"")</f>
        <v/>
      </c>
      <c r="J35" s="5" t="str" cm="1">
        <f t="array" ref="J35">_xlfn.XLOOKUP(1,(Asignaciones[N° Asp]=$A35)*(Asignaciones[Semana]=VALUE(SUBSTITUTE(J$1,"Semana ",""))),Asignaciones[Servicio],"")</f>
        <v/>
      </c>
      <c r="K35" s="6" t="str" cm="1">
        <f t="array" ref="K35">_xlfn.XLOOKUP(1,(Asignaciones[N° Asp]=$A35)*(Asignaciones[Semana]=VALUE(SUBSTITUTE(K$1,"Semana ",""))),Asignaciones[Servicio],"")</f>
        <v/>
      </c>
      <c r="L35" s="8" t="str" cm="1">
        <f t="array" ref="L35">_xlfn.XLOOKUP(1,(Asignaciones[N° Asp]=$A35)*(Asignaciones[Semana]=VALUE(SUBSTITUTE(L$1,"Semana ",""))),Asignaciones[Servicio],"")</f>
        <v/>
      </c>
      <c r="M35" s="8" t="str" cm="1">
        <f t="array" ref="M35">_xlfn.XLOOKUP(1,(Asignaciones[N° Asp]=$A35)*(Asignaciones[Semana]=VALUE(SUBSTITUTE(M$1,"Semana ",""))),Asignaciones[Servicio],"")</f>
        <v/>
      </c>
      <c r="N35" s="8" t="str" cm="1">
        <f t="array" ref="N35">_xlfn.XLOOKUP(1,(Asignaciones[N° Asp]=$A35)*(Asignaciones[Semana]=VALUE(SUBSTITUTE(N$1,"Semana ",""))),Asignaciones[Servicio],"")</f>
        <v/>
      </c>
      <c r="O35" s="8" t="str" cm="1">
        <f t="array" ref="O35">_xlfn.XLOOKUP(1,(Asignaciones[N° Asp]=$A35)*(Asignaciones[Semana]=VALUE(SUBSTITUTE(O$1,"Semana ",""))),Asignaciones[Servicio],"")</f>
        <v/>
      </c>
    </row>
    <row r="36" spans="1:15" x14ac:dyDescent="0.3">
      <c r="A36" s="10">
        <v>33</v>
      </c>
      <c r="B36" s="8" t="str">
        <v>NICOLAS</v>
      </c>
      <c r="C36" s="29" t="str" cm="1">
        <f t="array" ref="C36">_xlfn.XLOOKUP(1,(Asignaciones[N° Asp]=$A36)*(Asignaciones[Semana]=VALUE(SUBSTITUTE(C$1,"Semana ",""))),Asignaciones[Servicio],"")</f>
        <v/>
      </c>
      <c r="D36" s="8" t="str" cm="1">
        <f t="array" ref="D36">_xlfn.XLOOKUP(1,(Asignaciones[N° Asp]=$A36)*(Asignaciones[Semana]=VALUE(SUBSTITUTE(D$1,"Semana ",""))),Asignaciones[Servicio],"")</f>
        <v/>
      </c>
      <c r="E36" s="8" t="str" cm="1">
        <f t="array" ref="E36">_xlfn.XLOOKUP(1,(Asignaciones[N° Asp]=$A36)*(Asignaciones[Semana]=VALUE(SUBSTITUTE(E$1,"Semana ",""))),Asignaciones[Servicio],"")</f>
        <v/>
      </c>
      <c r="F36" s="8" t="str" cm="1">
        <f t="array" ref="F36">_xlfn.XLOOKUP(1,(Asignaciones[N° Asp]=$A36)*(Asignaciones[Semana]=VALUE(SUBSTITUTE(F$1,"Semana ",""))),Asignaciones[Servicio],"")</f>
        <v/>
      </c>
      <c r="G36" s="8" t="str" cm="1">
        <f t="array" ref="G36">_xlfn.XLOOKUP(1,(Asignaciones[N° Asp]=$A36)*(Asignaciones[Semana]=VALUE(SUBSTITUTE(G$1,"Semana ",""))),Asignaciones[Servicio],"")</f>
        <v/>
      </c>
      <c r="H36" s="8" t="str" cm="1">
        <f t="array" ref="H36">_xlfn.XLOOKUP(1,(Asignaciones[N° Asp]=$A36)*(Asignaciones[Semana]=VALUE(SUBSTITUTE(H$1,"Semana ",""))),Asignaciones[Servicio],"")</f>
        <v/>
      </c>
      <c r="I36" s="8" t="str" cm="1">
        <f t="array" ref="I36">_xlfn.XLOOKUP(1,(Asignaciones[N° Asp]=$A36)*(Asignaciones[Semana]=VALUE(SUBSTITUTE(I$1,"Semana ",""))),Asignaciones[Servicio],"")</f>
        <v/>
      </c>
      <c r="J36" s="5" t="str" cm="1">
        <f t="array" ref="J36">_xlfn.XLOOKUP(1,(Asignaciones[N° Asp]=$A36)*(Asignaciones[Semana]=VALUE(SUBSTITUTE(J$1,"Semana ",""))),Asignaciones[Servicio],"")</f>
        <v/>
      </c>
      <c r="K36" s="6" t="str" cm="1">
        <f t="array" ref="K36">_xlfn.XLOOKUP(1,(Asignaciones[N° Asp]=$A36)*(Asignaciones[Semana]=VALUE(SUBSTITUTE(K$1,"Semana ",""))),Asignaciones[Servicio],"")</f>
        <v/>
      </c>
      <c r="L36" s="8" t="str" cm="1">
        <f t="array" ref="L36">_xlfn.XLOOKUP(1,(Asignaciones[N° Asp]=$A36)*(Asignaciones[Semana]=VALUE(SUBSTITUTE(L$1,"Semana ",""))),Asignaciones[Servicio],"")</f>
        <v/>
      </c>
      <c r="M36" s="8" t="str" cm="1">
        <f t="array" ref="M36">_xlfn.XLOOKUP(1,(Asignaciones[N° Asp]=$A36)*(Asignaciones[Semana]=VALUE(SUBSTITUTE(M$1,"Semana ",""))),Asignaciones[Servicio],"")</f>
        <v/>
      </c>
      <c r="N36" s="8" t="str" cm="1">
        <f t="array" ref="N36">_xlfn.XLOOKUP(1,(Asignaciones[N° Asp]=$A36)*(Asignaciones[Semana]=VALUE(SUBSTITUTE(N$1,"Semana ",""))),Asignaciones[Servicio],"")</f>
        <v/>
      </c>
      <c r="O36" s="8" t="str" cm="1">
        <f t="array" ref="O36">_xlfn.XLOOKUP(1,(Asignaciones[N° Asp]=$A36)*(Asignaciones[Semana]=VALUE(SUBSTITUTE(O$1,"Semana ",""))),Asignaciones[Servicio],"")</f>
        <v/>
      </c>
    </row>
    <row r="37" spans="1:15" x14ac:dyDescent="0.3">
      <c r="A37" s="10">
        <v>34</v>
      </c>
      <c r="B37" s="8" t="str">
        <v>RAFAEL</v>
      </c>
      <c r="C37" s="29" t="str" cm="1">
        <f t="array" ref="C37">_xlfn.XLOOKUP(1,(Asignaciones[N° Asp]=$A37)*(Asignaciones[Semana]=VALUE(SUBSTITUTE(C$1,"Semana ",""))),Asignaciones[Servicio],"")</f>
        <v/>
      </c>
      <c r="D37" s="8" t="str" cm="1">
        <f t="array" ref="D37">_xlfn.XLOOKUP(1,(Asignaciones[N° Asp]=$A37)*(Asignaciones[Semana]=VALUE(SUBSTITUTE(D$1,"Semana ",""))),Asignaciones[Servicio],"")</f>
        <v/>
      </c>
      <c r="E37" s="8" t="str" cm="1">
        <f t="array" ref="E37">_xlfn.XLOOKUP(1,(Asignaciones[N° Asp]=$A37)*(Asignaciones[Semana]=VALUE(SUBSTITUTE(E$1,"Semana ",""))),Asignaciones[Servicio],"")</f>
        <v/>
      </c>
      <c r="F37" s="8" t="str" cm="1">
        <f t="array" ref="F37">_xlfn.XLOOKUP(1,(Asignaciones[N° Asp]=$A37)*(Asignaciones[Semana]=VALUE(SUBSTITUTE(F$1,"Semana ",""))),Asignaciones[Servicio],"")</f>
        <v/>
      </c>
      <c r="G37" s="8" t="str" cm="1">
        <f t="array" ref="G37">_xlfn.XLOOKUP(1,(Asignaciones[N° Asp]=$A37)*(Asignaciones[Semana]=VALUE(SUBSTITUTE(G$1,"Semana ",""))),Asignaciones[Servicio],"")</f>
        <v>CLIN HOMBRES SECT A</v>
      </c>
      <c r="H37" s="8" t="str" cm="1">
        <f t="array" ref="H37">_xlfn.XLOOKUP(1,(Asignaciones[N° Asp]=$A37)*(Asignaciones[Semana]=VALUE(SUBSTITUTE(H$1,"Semana ",""))),Asignaciones[Servicio],"")</f>
        <v/>
      </c>
      <c r="I37" s="8" t="str" cm="1">
        <f t="array" ref="I37">_xlfn.XLOOKUP(1,(Asignaciones[N° Asp]=$A37)*(Asignaciones[Semana]=VALUE(SUBSTITUTE(I$1,"Semana ",""))),Asignaciones[Servicio],"")</f>
        <v/>
      </c>
      <c r="J37" s="5" t="str" cm="1">
        <f t="array" ref="J37">_xlfn.XLOOKUP(1,(Asignaciones[N° Asp]=$A37)*(Asignaciones[Semana]=VALUE(SUBSTITUTE(J$1,"Semana ",""))),Asignaciones[Servicio],"")</f>
        <v/>
      </c>
      <c r="K37" s="6" t="str" cm="1">
        <f t="array" ref="K37">_xlfn.XLOOKUP(1,(Asignaciones[N° Asp]=$A37)*(Asignaciones[Semana]=VALUE(SUBSTITUTE(K$1,"Semana ",""))),Asignaciones[Servicio],"")</f>
        <v/>
      </c>
      <c r="L37" s="8" t="str" cm="1">
        <f t="array" ref="L37">_xlfn.XLOOKUP(1,(Asignaciones[N° Asp]=$A37)*(Asignaciones[Semana]=VALUE(SUBSTITUTE(L$1,"Semana ",""))),Asignaciones[Servicio],"")</f>
        <v/>
      </c>
      <c r="M37" s="8" t="str" cm="1">
        <f t="array" ref="M37">_xlfn.XLOOKUP(1,(Asignaciones[N° Asp]=$A37)*(Asignaciones[Semana]=VALUE(SUBSTITUTE(M$1,"Semana ",""))),Asignaciones[Servicio],"")</f>
        <v/>
      </c>
      <c r="N37" s="8" t="str" cm="1">
        <f t="array" ref="N37">_xlfn.XLOOKUP(1,(Asignaciones[N° Asp]=$A37)*(Asignaciones[Semana]=VALUE(SUBSTITUTE(N$1,"Semana ",""))),Asignaciones[Servicio],"")</f>
        <v/>
      </c>
      <c r="O37" s="8" t="str" cm="1">
        <f t="array" ref="O37">_xlfn.XLOOKUP(1,(Asignaciones[N° Asp]=$A37)*(Asignaciones[Semana]=VALUE(SUBSTITUTE(O$1,"Semana ",""))),Asignaciones[Servicio],"")</f>
        <v/>
      </c>
    </row>
    <row r="38" spans="1:15" x14ac:dyDescent="0.3">
      <c r="A38" s="10">
        <v>35</v>
      </c>
      <c r="B38" s="8" t="str">
        <v>ROBALO</v>
      </c>
      <c r="C38" s="29" t="str" cm="1">
        <f t="array" ref="C38">_xlfn.XLOOKUP(1,(Asignaciones[N° Asp]=$A38)*(Asignaciones[Semana]=VALUE(SUBSTITUTE(C$1,"Semana ",""))),Asignaciones[Servicio],"")</f>
        <v/>
      </c>
      <c r="D38" s="8" t="str" cm="1">
        <f t="array" ref="D38">_xlfn.XLOOKUP(1,(Asignaciones[N° Asp]=$A38)*(Asignaciones[Semana]=VALUE(SUBSTITUTE(D$1,"Semana ",""))),Asignaciones[Servicio],"")</f>
        <v/>
      </c>
      <c r="E38" s="8" t="str" cm="1">
        <f t="array" ref="E38">_xlfn.XLOOKUP(1,(Asignaciones[N° Asp]=$A38)*(Asignaciones[Semana]=VALUE(SUBSTITUTE(E$1,"Semana ",""))),Asignaciones[Servicio],"")</f>
        <v/>
      </c>
      <c r="F38" s="8" t="str" cm="1">
        <f t="array" ref="F38">_xlfn.XLOOKUP(1,(Asignaciones[N° Asp]=$A38)*(Asignaciones[Semana]=VALUE(SUBSTITUTE(F$1,"Semana ",""))),Asignaciones[Servicio],"")</f>
        <v/>
      </c>
      <c r="G38" s="8" t="str" cm="1">
        <f t="array" ref="G38">_xlfn.XLOOKUP(1,(Asignaciones[N° Asp]=$A38)*(Asignaciones[Semana]=VALUE(SUBSTITUTE(G$1,"Semana ",""))),Asignaciones[Servicio],"")</f>
        <v/>
      </c>
      <c r="H38" s="8" t="str" cm="1">
        <f t="array" ref="H38">_xlfn.XLOOKUP(1,(Asignaciones[N° Asp]=$A38)*(Asignaciones[Semana]=VALUE(SUBSTITUTE(H$1,"Semana ",""))),Asignaciones[Servicio],"")</f>
        <v/>
      </c>
      <c r="I38" s="8" t="str" cm="1">
        <f t="array" ref="I38">_xlfn.XLOOKUP(1,(Asignaciones[N° Asp]=$A38)*(Asignaciones[Semana]=VALUE(SUBSTITUTE(I$1,"Semana ",""))),Asignaciones[Servicio],"")</f>
        <v/>
      </c>
      <c r="J38" s="5" t="str" cm="1">
        <f t="array" ref="J38">_xlfn.XLOOKUP(1,(Asignaciones[N° Asp]=$A38)*(Asignaciones[Semana]=VALUE(SUBSTITUTE(J$1,"Semana ",""))),Asignaciones[Servicio],"")</f>
        <v/>
      </c>
      <c r="K38" s="6" t="str" cm="1">
        <f t="array" ref="K38">_xlfn.XLOOKUP(1,(Asignaciones[N° Asp]=$A38)*(Asignaciones[Semana]=VALUE(SUBSTITUTE(K$1,"Semana ",""))),Asignaciones[Servicio],"")</f>
        <v/>
      </c>
      <c r="L38" s="8" t="str" cm="1">
        <f t="array" ref="L38">_xlfn.XLOOKUP(1,(Asignaciones[N° Asp]=$A38)*(Asignaciones[Semana]=VALUE(SUBSTITUTE(L$1,"Semana ",""))),Asignaciones[Servicio],"")</f>
        <v/>
      </c>
      <c r="M38" s="8" t="str" cm="1">
        <f t="array" ref="M38">_xlfn.XLOOKUP(1,(Asignaciones[N° Asp]=$A38)*(Asignaciones[Semana]=VALUE(SUBSTITUTE(M$1,"Semana ",""))),Asignaciones[Servicio],"")</f>
        <v/>
      </c>
      <c r="N38" s="8" t="str" cm="1">
        <f t="array" ref="N38">_xlfn.XLOOKUP(1,(Asignaciones[N° Asp]=$A38)*(Asignaciones[Semana]=VALUE(SUBSTITUTE(N$1,"Semana ",""))),Asignaciones[Servicio],"")</f>
        <v/>
      </c>
      <c r="O38" s="8" t="str" cm="1">
        <f t="array" ref="O38">_xlfn.XLOOKUP(1,(Asignaciones[N° Asp]=$A38)*(Asignaciones[Semana]=VALUE(SUBSTITUTE(O$1,"Semana ",""))),Asignaciones[Servicio],"")</f>
        <v/>
      </c>
    </row>
    <row r="39" spans="1:15" x14ac:dyDescent="0.3">
      <c r="A39" s="10">
        <v>36</v>
      </c>
      <c r="B39" s="8" t="str">
        <v>ROCIO</v>
      </c>
      <c r="C39" s="29" t="str" cm="1">
        <f t="array" ref="C39">_xlfn.XLOOKUP(1,(Asignaciones[N° Asp]=$A39)*(Asignaciones[Semana]=VALUE(SUBSTITUTE(C$1,"Semana ",""))),Asignaciones[Servicio],"")</f>
        <v/>
      </c>
      <c r="D39" s="8" t="str" cm="1">
        <f t="array" ref="D39">_xlfn.XLOOKUP(1,(Asignaciones[N° Asp]=$A39)*(Asignaciones[Semana]=VALUE(SUBSTITUTE(D$1,"Semana ",""))),Asignaciones[Servicio],"")</f>
        <v/>
      </c>
      <c r="E39" s="8" t="str" cm="1">
        <f t="array" ref="E39">_xlfn.XLOOKUP(1,(Asignaciones[N° Asp]=$A39)*(Asignaciones[Semana]=VALUE(SUBSTITUTE(E$1,"Semana ",""))),Asignaciones[Servicio],"")</f>
        <v/>
      </c>
      <c r="F39" s="8" t="str" cm="1">
        <f t="array" ref="F39">_xlfn.XLOOKUP(1,(Asignaciones[N° Asp]=$A39)*(Asignaciones[Semana]=VALUE(SUBSTITUTE(F$1,"Semana ",""))),Asignaciones[Servicio],"")</f>
        <v/>
      </c>
      <c r="G39" s="8" t="str" cm="1">
        <f t="array" ref="G39">_xlfn.XLOOKUP(1,(Asignaciones[N° Asp]=$A39)*(Asignaciones[Semana]=VALUE(SUBSTITUTE(G$1,"Semana ",""))),Asignaciones[Servicio],"")</f>
        <v/>
      </c>
      <c r="H39" s="8" t="str" cm="1">
        <f t="array" ref="H39">_xlfn.XLOOKUP(1,(Asignaciones[N° Asp]=$A39)*(Asignaciones[Semana]=VALUE(SUBSTITUTE(H$1,"Semana ",""))),Asignaciones[Servicio],"")</f>
        <v/>
      </c>
      <c r="I39" s="8" t="str" cm="1">
        <f t="array" ref="I39">_xlfn.XLOOKUP(1,(Asignaciones[N° Asp]=$A39)*(Asignaciones[Semana]=VALUE(SUBSTITUTE(I$1,"Semana ",""))),Asignaciones[Servicio],"")</f>
        <v/>
      </c>
      <c r="J39" s="5" t="str" cm="1">
        <f t="array" ref="J39">_xlfn.XLOOKUP(1,(Asignaciones[N° Asp]=$A39)*(Asignaciones[Semana]=VALUE(SUBSTITUTE(J$1,"Semana ",""))),Asignaciones[Servicio],"")</f>
        <v/>
      </c>
      <c r="K39" s="6" t="str" cm="1">
        <f t="array" ref="K39">_xlfn.XLOOKUP(1,(Asignaciones[N° Asp]=$A39)*(Asignaciones[Semana]=VALUE(SUBSTITUTE(K$1,"Semana ",""))),Asignaciones[Servicio],"")</f>
        <v/>
      </c>
      <c r="L39" s="8" t="str" cm="1">
        <f t="array" ref="L39">_xlfn.XLOOKUP(1,(Asignaciones[N° Asp]=$A39)*(Asignaciones[Semana]=VALUE(SUBSTITUTE(L$1,"Semana ",""))),Asignaciones[Servicio],"")</f>
        <v/>
      </c>
      <c r="M39" s="8" t="str" cm="1">
        <f t="array" ref="M39">_xlfn.XLOOKUP(1,(Asignaciones[N° Asp]=$A39)*(Asignaciones[Semana]=VALUE(SUBSTITUTE(M$1,"Semana ",""))),Asignaciones[Servicio],"")</f>
        <v/>
      </c>
      <c r="N39" s="8" t="str" cm="1">
        <f t="array" ref="N39">_xlfn.XLOOKUP(1,(Asignaciones[N° Asp]=$A39)*(Asignaciones[Semana]=VALUE(SUBSTITUTE(N$1,"Semana ",""))),Asignaciones[Servicio],"")</f>
        <v/>
      </c>
      <c r="O39" s="8" t="str" cm="1">
        <f t="array" ref="O39">_xlfn.XLOOKUP(1,(Asignaciones[N° Asp]=$A39)*(Asignaciones[Semana]=VALUE(SUBSTITUTE(O$1,"Semana ",""))),Asignaciones[Servicio],"")</f>
        <v/>
      </c>
    </row>
    <row r="40" spans="1:15" x14ac:dyDescent="0.3">
      <c r="A40" s="10">
        <v>37</v>
      </c>
      <c r="B40" s="8" t="str">
        <v>ROSA</v>
      </c>
      <c r="C40" s="29" t="str" cm="1">
        <f t="array" ref="C40">_xlfn.XLOOKUP(1,(Asignaciones[N° Asp]=$A40)*(Asignaciones[Semana]=VALUE(SUBSTITUTE(C$1,"Semana ",""))),Asignaciones[Servicio],"")</f>
        <v/>
      </c>
      <c r="D40" s="8" t="str" cm="1">
        <f t="array" ref="D40">_xlfn.XLOOKUP(1,(Asignaciones[N° Asp]=$A40)*(Asignaciones[Semana]=VALUE(SUBSTITUTE(D$1,"Semana ",""))),Asignaciones[Servicio],"")</f>
        <v/>
      </c>
      <c r="E40" s="8" t="str" cm="1">
        <f t="array" ref="E40">_xlfn.XLOOKUP(1,(Asignaciones[N° Asp]=$A40)*(Asignaciones[Semana]=VALUE(SUBSTITUTE(E$1,"Semana ",""))),Asignaciones[Servicio],"")</f>
        <v/>
      </c>
      <c r="F40" s="8" t="str" cm="1">
        <f t="array" ref="F40">_xlfn.XLOOKUP(1,(Asignaciones[N° Asp]=$A40)*(Asignaciones[Semana]=VALUE(SUBSTITUTE(F$1,"Semana ",""))),Asignaciones[Servicio],"")</f>
        <v/>
      </c>
      <c r="G40" s="8" t="str" cm="1">
        <f t="array" ref="G40">_xlfn.XLOOKUP(1,(Asignaciones[N° Asp]=$A40)*(Asignaciones[Semana]=VALUE(SUBSTITUTE(G$1,"Semana ",""))),Asignaciones[Servicio],"")</f>
        <v>CLIN MUJERES  SECTOR B</v>
      </c>
      <c r="H40" s="8" t="str" cm="1">
        <f t="array" ref="H40">_xlfn.XLOOKUP(1,(Asignaciones[N° Asp]=$A40)*(Asignaciones[Semana]=VALUE(SUBSTITUTE(H$1,"Semana ",""))),Asignaciones[Servicio],"")</f>
        <v/>
      </c>
      <c r="I40" s="8" t="str" cm="1">
        <f t="array" ref="I40">_xlfn.XLOOKUP(1,(Asignaciones[N° Asp]=$A40)*(Asignaciones[Semana]=VALUE(SUBSTITUTE(I$1,"Semana ",""))),Asignaciones[Servicio],"")</f>
        <v/>
      </c>
      <c r="J40" s="5" t="str" cm="1">
        <f t="array" ref="J40">_xlfn.XLOOKUP(1,(Asignaciones[N° Asp]=$A40)*(Asignaciones[Semana]=VALUE(SUBSTITUTE(J$1,"Semana ",""))),Asignaciones[Servicio],"")</f>
        <v/>
      </c>
      <c r="K40" s="6" t="str" cm="1">
        <f t="array" ref="K40">_xlfn.XLOOKUP(1,(Asignaciones[N° Asp]=$A40)*(Asignaciones[Semana]=VALUE(SUBSTITUTE(K$1,"Semana ",""))),Asignaciones[Servicio],"")</f>
        <v/>
      </c>
      <c r="L40" s="8" t="str" cm="1">
        <f t="array" ref="L40">_xlfn.XLOOKUP(1,(Asignaciones[N° Asp]=$A40)*(Asignaciones[Semana]=VALUE(SUBSTITUTE(L$1,"Semana ",""))),Asignaciones[Servicio],"")</f>
        <v/>
      </c>
      <c r="M40" s="8" t="str" cm="1">
        <f t="array" ref="M40">_xlfn.XLOOKUP(1,(Asignaciones[N° Asp]=$A40)*(Asignaciones[Semana]=VALUE(SUBSTITUTE(M$1,"Semana ",""))),Asignaciones[Servicio],"")</f>
        <v/>
      </c>
      <c r="N40" s="8" t="str" cm="1">
        <f t="array" ref="N40">_xlfn.XLOOKUP(1,(Asignaciones[N° Asp]=$A40)*(Asignaciones[Semana]=VALUE(SUBSTITUTE(N$1,"Semana ",""))),Asignaciones[Servicio],"")</f>
        <v/>
      </c>
      <c r="O40" s="8" t="str" cm="1">
        <f t="array" ref="O40">_xlfn.XLOOKUP(1,(Asignaciones[N° Asp]=$A40)*(Asignaciones[Semana]=VALUE(SUBSTITUTE(O$1,"Semana ",""))),Asignaciones[Servicio],"")</f>
        <v/>
      </c>
    </row>
    <row r="41" spans="1:15" x14ac:dyDescent="0.3">
      <c r="A41" s="10">
        <v>38</v>
      </c>
      <c r="B41" s="8" t="str">
        <v>SELENA</v>
      </c>
      <c r="C41" s="29" t="str" cm="1">
        <f t="array" ref="C41">_xlfn.XLOOKUP(1,(Asignaciones[N° Asp]=$A41)*(Asignaciones[Semana]=VALUE(SUBSTITUTE(C$1,"Semana ",""))),Asignaciones[Servicio],"")</f>
        <v/>
      </c>
      <c r="D41" s="8" t="str" cm="1">
        <f t="array" ref="D41">_xlfn.XLOOKUP(1,(Asignaciones[N° Asp]=$A41)*(Asignaciones[Semana]=VALUE(SUBSTITUTE(D$1,"Semana ",""))),Asignaciones[Servicio],"")</f>
        <v/>
      </c>
      <c r="E41" s="8" t="str" cm="1">
        <f t="array" ref="E41">_xlfn.XLOOKUP(1,(Asignaciones[N° Asp]=$A41)*(Asignaciones[Semana]=VALUE(SUBSTITUTE(E$1,"Semana ",""))),Asignaciones[Servicio],"")</f>
        <v/>
      </c>
      <c r="F41" s="8" t="str" cm="1">
        <f t="array" ref="F41">_xlfn.XLOOKUP(1,(Asignaciones[N° Asp]=$A41)*(Asignaciones[Semana]=VALUE(SUBSTITUTE(F$1,"Semana ",""))),Asignaciones[Servicio],"")</f>
        <v/>
      </c>
      <c r="G41" s="8" t="str" cm="1">
        <f t="array" ref="G41">_xlfn.XLOOKUP(1,(Asignaciones[N° Asp]=$A41)*(Asignaciones[Semana]=VALUE(SUBSTITUTE(G$1,"Semana ",""))),Asignaciones[Servicio],"")</f>
        <v/>
      </c>
      <c r="H41" s="8" t="str" cm="1">
        <f t="array" ref="H41">_xlfn.XLOOKUP(1,(Asignaciones[N° Asp]=$A41)*(Asignaciones[Semana]=VALUE(SUBSTITUTE(H$1,"Semana ",""))),Asignaciones[Servicio],"")</f>
        <v/>
      </c>
      <c r="I41" s="8" t="str" cm="1">
        <f t="array" ref="I41">_xlfn.XLOOKUP(1,(Asignaciones[N° Asp]=$A41)*(Asignaciones[Semana]=VALUE(SUBSTITUTE(I$1,"Semana ",""))),Asignaciones[Servicio],"")</f>
        <v/>
      </c>
      <c r="J41" s="5" t="str" cm="1">
        <f t="array" ref="J41">_xlfn.XLOOKUP(1,(Asignaciones[N° Asp]=$A41)*(Asignaciones[Semana]=VALUE(SUBSTITUTE(J$1,"Semana ",""))),Asignaciones[Servicio],"")</f>
        <v/>
      </c>
      <c r="K41" s="6" t="str" cm="1">
        <f t="array" ref="K41">_xlfn.XLOOKUP(1,(Asignaciones[N° Asp]=$A41)*(Asignaciones[Semana]=VALUE(SUBSTITUTE(K$1,"Semana ",""))),Asignaciones[Servicio],"")</f>
        <v/>
      </c>
      <c r="L41" s="8" t="str" cm="1">
        <f t="array" ref="L41">_xlfn.XLOOKUP(1,(Asignaciones[N° Asp]=$A41)*(Asignaciones[Semana]=VALUE(SUBSTITUTE(L$1,"Semana ",""))),Asignaciones[Servicio],"")</f>
        <v/>
      </c>
      <c r="M41" s="8" t="str" cm="1">
        <f t="array" ref="M41">_xlfn.XLOOKUP(1,(Asignaciones[N° Asp]=$A41)*(Asignaciones[Semana]=VALUE(SUBSTITUTE(M$1,"Semana ",""))),Asignaciones[Servicio],"")</f>
        <v/>
      </c>
      <c r="N41" s="8" t="str" cm="1">
        <f t="array" ref="N41">_xlfn.XLOOKUP(1,(Asignaciones[N° Asp]=$A41)*(Asignaciones[Semana]=VALUE(SUBSTITUTE(N$1,"Semana ",""))),Asignaciones[Servicio],"")</f>
        <v/>
      </c>
      <c r="O41" s="8" t="str" cm="1">
        <f t="array" ref="O41">_xlfn.XLOOKUP(1,(Asignaciones[N° Asp]=$A41)*(Asignaciones[Semana]=VALUE(SUBSTITUTE(O$1,"Semana ",""))),Asignaciones[Servicio],"")</f>
        <v/>
      </c>
    </row>
    <row r="42" spans="1:15" x14ac:dyDescent="0.3">
      <c r="A42" s="10">
        <v>39</v>
      </c>
      <c r="B42" s="8" t="str">
        <v>SOLEDAD</v>
      </c>
      <c r="C42" s="29" t="str" cm="1">
        <f t="array" ref="C42">_xlfn.XLOOKUP(1,(Asignaciones[N° Asp]=$A42)*(Asignaciones[Semana]=VALUE(SUBSTITUTE(C$1,"Semana ",""))),Asignaciones[Servicio],"")</f>
        <v/>
      </c>
      <c r="D42" s="8" t="str" cm="1">
        <f t="array" ref="D42">_xlfn.XLOOKUP(1,(Asignaciones[N° Asp]=$A42)*(Asignaciones[Semana]=VALUE(SUBSTITUTE(D$1,"Semana ",""))),Asignaciones[Servicio],"")</f>
        <v/>
      </c>
      <c r="E42" s="8" t="str" cm="1">
        <f t="array" ref="E42">_xlfn.XLOOKUP(1,(Asignaciones[N° Asp]=$A42)*(Asignaciones[Semana]=VALUE(SUBSTITUTE(E$1,"Semana ",""))),Asignaciones[Servicio],"")</f>
        <v/>
      </c>
      <c r="F42" s="8" t="str" cm="1">
        <f t="array" ref="F42">_xlfn.XLOOKUP(1,(Asignaciones[N° Asp]=$A42)*(Asignaciones[Semana]=VALUE(SUBSTITUTE(F$1,"Semana ",""))),Asignaciones[Servicio],"")</f>
        <v/>
      </c>
      <c r="G42" s="8" t="str" cm="1">
        <f t="array" ref="G42">_xlfn.XLOOKUP(1,(Asignaciones[N° Asp]=$A42)*(Asignaciones[Semana]=VALUE(SUBSTITUTE(G$1,"Semana ",""))),Asignaciones[Servicio],"")</f>
        <v/>
      </c>
      <c r="H42" s="8" t="str" cm="1">
        <f t="array" ref="H42">_xlfn.XLOOKUP(1,(Asignaciones[N° Asp]=$A42)*(Asignaciones[Semana]=VALUE(SUBSTITUTE(H$1,"Semana ",""))),Asignaciones[Servicio],"")</f>
        <v/>
      </c>
      <c r="I42" s="8" t="str" cm="1">
        <f t="array" ref="I42">_xlfn.XLOOKUP(1,(Asignaciones[N° Asp]=$A42)*(Asignaciones[Semana]=VALUE(SUBSTITUTE(I$1,"Semana ",""))),Asignaciones[Servicio],"")</f>
        <v/>
      </c>
      <c r="J42" s="5" t="str" cm="1">
        <f t="array" ref="J42">_xlfn.XLOOKUP(1,(Asignaciones[N° Asp]=$A42)*(Asignaciones[Semana]=VALUE(SUBSTITUTE(J$1,"Semana ",""))),Asignaciones[Servicio],"")</f>
        <v/>
      </c>
      <c r="K42" s="6" t="str" cm="1">
        <f t="array" ref="K42">_xlfn.XLOOKUP(1,(Asignaciones[N° Asp]=$A42)*(Asignaciones[Semana]=VALUE(SUBSTITUTE(K$1,"Semana ",""))),Asignaciones[Servicio],"")</f>
        <v/>
      </c>
      <c r="L42" s="8" t="str" cm="1">
        <f t="array" ref="L42">_xlfn.XLOOKUP(1,(Asignaciones[N° Asp]=$A42)*(Asignaciones[Semana]=VALUE(SUBSTITUTE(L$1,"Semana ",""))),Asignaciones[Servicio],"")</f>
        <v/>
      </c>
      <c r="M42" s="8" t="str" cm="1">
        <f t="array" ref="M42">_xlfn.XLOOKUP(1,(Asignaciones[N° Asp]=$A42)*(Asignaciones[Semana]=VALUE(SUBSTITUTE(M$1,"Semana ",""))),Asignaciones[Servicio],"")</f>
        <v/>
      </c>
      <c r="N42" s="8" t="str" cm="1">
        <f t="array" ref="N42">_xlfn.XLOOKUP(1,(Asignaciones[N° Asp]=$A42)*(Asignaciones[Semana]=VALUE(SUBSTITUTE(N$1,"Semana ",""))),Asignaciones[Servicio],"")</f>
        <v/>
      </c>
      <c r="O42" s="8" t="str" cm="1">
        <f t="array" ref="O42">_xlfn.XLOOKUP(1,(Asignaciones[N° Asp]=$A42)*(Asignaciones[Semana]=VALUE(SUBSTITUTE(O$1,"Semana ",""))),Asignaciones[Servicio],"")</f>
        <v/>
      </c>
    </row>
    <row r="43" spans="1:15" x14ac:dyDescent="0.3">
      <c r="A43" s="10">
        <v>40</v>
      </c>
      <c r="B43" s="8" t="str">
        <v>SOLEDAD</v>
      </c>
      <c r="C43" s="29" t="str" cm="1">
        <f t="array" ref="C43">_xlfn.XLOOKUP(1,(Asignaciones[N° Asp]=$A43)*(Asignaciones[Semana]=VALUE(SUBSTITUTE(C$1,"Semana ",""))),Asignaciones[Servicio],"")</f>
        <v/>
      </c>
      <c r="D43" s="8" t="str" cm="1">
        <f t="array" ref="D43">_xlfn.XLOOKUP(1,(Asignaciones[N° Asp]=$A43)*(Asignaciones[Semana]=VALUE(SUBSTITUTE(D$1,"Semana ",""))),Asignaciones[Servicio],"")</f>
        <v/>
      </c>
      <c r="E43" s="8" t="str" cm="1">
        <f t="array" ref="E43">_xlfn.XLOOKUP(1,(Asignaciones[N° Asp]=$A43)*(Asignaciones[Semana]=VALUE(SUBSTITUTE(E$1,"Semana ",""))),Asignaciones[Servicio],"")</f>
        <v/>
      </c>
      <c r="F43" s="8" t="str" cm="1">
        <f t="array" ref="F43">_xlfn.XLOOKUP(1,(Asignaciones[N° Asp]=$A43)*(Asignaciones[Semana]=VALUE(SUBSTITUTE(F$1,"Semana ",""))),Asignaciones[Servicio],"")</f>
        <v/>
      </c>
      <c r="G43" s="8" t="str" cm="1">
        <f t="array" ref="G43">_xlfn.XLOOKUP(1,(Asignaciones[N° Asp]=$A43)*(Asignaciones[Semana]=VALUE(SUBSTITUTE(G$1,"Semana ",""))),Asignaciones[Servicio],"")</f>
        <v>UTI</v>
      </c>
      <c r="H43" s="8" t="str" cm="1">
        <f t="array" ref="H43">_xlfn.XLOOKUP(1,(Asignaciones[N° Asp]=$A43)*(Asignaciones[Semana]=VALUE(SUBSTITUTE(H$1,"Semana ",""))),Asignaciones[Servicio],"")</f>
        <v/>
      </c>
      <c r="I43" s="8" t="str" cm="1">
        <f t="array" ref="I43">_xlfn.XLOOKUP(1,(Asignaciones[N° Asp]=$A43)*(Asignaciones[Semana]=VALUE(SUBSTITUTE(I$1,"Semana ",""))),Asignaciones[Servicio],"")</f>
        <v/>
      </c>
      <c r="J43" s="5" t="str" cm="1">
        <f t="array" ref="J43">_xlfn.XLOOKUP(1,(Asignaciones[N° Asp]=$A43)*(Asignaciones[Semana]=VALUE(SUBSTITUTE(J$1,"Semana ",""))),Asignaciones[Servicio],"")</f>
        <v/>
      </c>
      <c r="K43" s="6" t="str" cm="1">
        <f t="array" ref="K43">_xlfn.XLOOKUP(1,(Asignaciones[N° Asp]=$A43)*(Asignaciones[Semana]=VALUE(SUBSTITUTE(K$1,"Semana ",""))),Asignaciones[Servicio],"")</f>
        <v/>
      </c>
      <c r="L43" s="8" t="str" cm="1">
        <f t="array" ref="L43">_xlfn.XLOOKUP(1,(Asignaciones[N° Asp]=$A43)*(Asignaciones[Semana]=VALUE(SUBSTITUTE(L$1,"Semana ",""))),Asignaciones[Servicio],"")</f>
        <v/>
      </c>
      <c r="M43" s="8" t="str" cm="1">
        <f t="array" ref="M43">_xlfn.XLOOKUP(1,(Asignaciones[N° Asp]=$A43)*(Asignaciones[Semana]=VALUE(SUBSTITUTE(M$1,"Semana ",""))),Asignaciones[Servicio],"")</f>
        <v/>
      </c>
      <c r="N43" s="8" t="str" cm="1">
        <f t="array" ref="N43">_xlfn.XLOOKUP(1,(Asignaciones[N° Asp]=$A43)*(Asignaciones[Semana]=VALUE(SUBSTITUTE(N$1,"Semana ",""))),Asignaciones[Servicio],"")</f>
        <v/>
      </c>
      <c r="O43" s="8" t="str" cm="1">
        <f t="array" ref="O43">_xlfn.XLOOKUP(1,(Asignaciones[N° Asp]=$A43)*(Asignaciones[Semana]=VALUE(SUBSTITUTE(O$1,"Semana ",""))),Asignaciones[Servicio],"")</f>
        <v/>
      </c>
    </row>
    <row r="44" spans="1:15" x14ac:dyDescent="0.3">
      <c r="A44" s="10">
        <v>41</v>
      </c>
      <c r="B44" s="8" t="str">
        <v>VERENICE</v>
      </c>
      <c r="C44" s="29" t="str" cm="1">
        <f t="array" ref="C44">_xlfn.XLOOKUP(1,(Asignaciones[N° Asp]=$A44)*(Asignaciones[Semana]=VALUE(SUBSTITUTE(C$1,"Semana ",""))),Asignaciones[Servicio],"")</f>
        <v/>
      </c>
      <c r="D44" s="8" t="str" cm="1">
        <f t="array" ref="D44">_xlfn.XLOOKUP(1,(Asignaciones[N° Asp]=$A44)*(Asignaciones[Semana]=VALUE(SUBSTITUTE(D$1,"Semana ",""))),Asignaciones[Servicio],"")</f>
        <v/>
      </c>
      <c r="E44" s="8" t="str" cm="1">
        <f t="array" ref="E44">_xlfn.XLOOKUP(1,(Asignaciones[N° Asp]=$A44)*(Asignaciones[Semana]=VALUE(SUBSTITUTE(E$1,"Semana ",""))),Asignaciones[Servicio],"")</f>
        <v/>
      </c>
      <c r="F44" s="8" t="str" cm="1">
        <f t="array" ref="F44">_xlfn.XLOOKUP(1,(Asignaciones[N° Asp]=$A44)*(Asignaciones[Semana]=VALUE(SUBSTITUTE(F$1,"Semana ",""))),Asignaciones[Servicio],"")</f>
        <v/>
      </c>
      <c r="G44" s="8" t="str" cm="1">
        <f t="array" ref="G44">_xlfn.XLOOKUP(1,(Asignaciones[N° Asp]=$A44)*(Asignaciones[Semana]=VALUE(SUBSTITUTE(G$1,"Semana ",""))),Asignaciones[Servicio],"")</f>
        <v/>
      </c>
      <c r="H44" s="8" t="str" cm="1">
        <f t="array" ref="H44">_xlfn.XLOOKUP(1,(Asignaciones[N° Asp]=$A44)*(Asignaciones[Semana]=VALUE(SUBSTITUTE(H$1,"Semana ",""))),Asignaciones[Servicio],"")</f>
        <v/>
      </c>
      <c r="I44" s="8" t="str" cm="1">
        <f t="array" ref="I44">_xlfn.XLOOKUP(1,(Asignaciones[N° Asp]=$A44)*(Asignaciones[Semana]=VALUE(SUBSTITUTE(I$1,"Semana ",""))),Asignaciones[Servicio],"")</f>
        <v/>
      </c>
      <c r="J44" s="5" t="str" cm="1">
        <f t="array" ref="J44">_xlfn.XLOOKUP(1,(Asignaciones[N° Asp]=$A44)*(Asignaciones[Semana]=VALUE(SUBSTITUTE(J$1,"Semana ",""))),Asignaciones[Servicio],"")</f>
        <v/>
      </c>
      <c r="K44" s="6" t="str" cm="1">
        <f t="array" ref="K44">_xlfn.XLOOKUP(1,(Asignaciones[N° Asp]=$A44)*(Asignaciones[Semana]=VALUE(SUBSTITUTE(K$1,"Semana ",""))),Asignaciones[Servicio],"")</f>
        <v/>
      </c>
      <c r="L44" s="8" t="str" cm="1">
        <f t="array" ref="L44">_xlfn.XLOOKUP(1,(Asignaciones[N° Asp]=$A44)*(Asignaciones[Semana]=VALUE(SUBSTITUTE(L$1,"Semana ",""))),Asignaciones[Servicio],"")</f>
        <v/>
      </c>
      <c r="M44" s="8" t="str" cm="1">
        <f t="array" ref="M44">_xlfn.XLOOKUP(1,(Asignaciones[N° Asp]=$A44)*(Asignaciones[Semana]=VALUE(SUBSTITUTE(M$1,"Semana ",""))),Asignaciones[Servicio],"")</f>
        <v/>
      </c>
      <c r="N44" s="8" t="str" cm="1">
        <f t="array" ref="N44">_xlfn.XLOOKUP(1,(Asignaciones[N° Asp]=$A44)*(Asignaciones[Semana]=VALUE(SUBSTITUTE(N$1,"Semana ",""))),Asignaciones[Servicio],"")</f>
        <v/>
      </c>
      <c r="O44" s="8" t="str" cm="1">
        <f t="array" ref="O44">_xlfn.XLOOKUP(1,(Asignaciones[N° Asp]=$A44)*(Asignaciones[Semana]=VALUE(SUBSTITUTE(O$1,"Semana ",""))),Asignaciones[Servicio],"")</f>
        <v/>
      </c>
    </row>
    <row r="45" spans="1:15" x14ac:dyDescent="0.3">
      <c r="A45" s="10">
        <v>42</v>
      </c>
      <c r="B45" s="8" t="str">
        <v>VERONICA</v>
      </c>
      <c r="C45" s="29" t="str" cm="1">
        <f t="array" ref="C45">_xlfn.XLOOKUP(1,(Asignaciones[N° Asp]=$A45)*(Asignaciones[Semana]=VALUE(SUBSTITUTE(C$1,"Semana ",""))),Asignaciones[Servicio],"")</f>
        <v/>
      </c>
      <c r="D45" s="8" t="str" cm="1">
        <f t="array" ref="D45">_xlfn.XLOOKUP(1,(Asignaciones[N° Asp]=$A45)*(Asignaciones[Semana]=VALUE(SUBSTITUTE(D$1,"Semana ",""))),Asignaciones[Servicio],"")</f>
        <v/>
      </c>
      <c r="E45" s="8" t="str" cm="1">
        <f t="array" ref="E45">_xlfn.XLOOKUP(1,(Asignaciones[N° Asp]=$A45)*(Asignaciones[Semana]=VALUE(SUBSTITUTE(E$1,"Semana ",""))),Asignaciones[Servicio],"")</f>
        <v/>
      </c>
      <c r="F45" s="8" t="str" cm="1">
        <f t="array" ref="F45">_xlfn.XLOOKUP(1,(Asignaciones[N° Asp]=$A45)*(Asignaciones[Semana]=VALUE(SUBSTITUTE(F$1,"Semana ",""))),Asignaciones[Servicio],"")</f>
        <v/>
      </c>
      <c r="G45" s="8" t="str" cm="1">
        <f t="array" ref="G45">_xlfn.XLOOKUP(1,(Asignaciones[N° Asp]=$A45)*(Asignaciones[Semana]=VALUE(SUBSTITUTE(G$1,"Semana ",""))),Asignaciones[Servicio],"")</f>
        <v/>
      </c>
      <c r="H45" s="8" t="str" cm="1">
        <f t="array" ref="H45">_xlfn.XLOOKUP(1,(Asignaciones[N° Asp]=$A45)*(Asignaciones[Semana]=VALUE(SUBSTITUTE(H$1,"Semana ",""))),Asignaciones[Servicio],"")</f>
        <v/>
      </c>
      <c r="I45" s="8" t="str" cm="1">
        <f t="array" ref="I45">_xlfn.XLOOKUP(1,(Asignaciones[N° Asp]=$A45)*(Asignaciones[Semana]=VALUE(SUBSTITUTE(I$1,"Semana ",""))),Asignaciones[Servicio],"")</f>
        <v/>
      </c>
      <c r="J45" s="5" t="str" cm="1">
        <f t="array" ref="J45">_xlfn.XLOOKUP(1,(Asignaciones[N° Asp]=$A45)*(Asignaciones[Semana]=VALUE(SUBSTITUTE(J$1,"Semana ",""))),Asignaciones[Servicio],"")</f>
        <v/>
      </c>
      <c r="K45" s="6" t="str" cm="1">
        <f t="array" ref="K45">_xlfn.XLOOKUP(1,(Asignaciones[N° Asp]=$A45)*(Asignaciones[Semana]=VALUE(SUBSTITUTE(K$1,"Semana ",""))),Asignaciones[Servicio],"")</f>
        <v/>
      </c>
      <c r="L45" s="8" t="str" cm="1">
        <f t="array" ref="L45">_xlfn.XLOOKUP(1,(Asignaciones[N° Asp]=$A45)*(Asignaciones[Semana]=VALUE(SUBSTITUTE(L$1,"Semana ",""))),Asignaciones[Servicio],"")</f>
        <v/>
      </c>
      <c r="M45" s="8" t="str" cm="1">
        <f t="array" ref="M45">_xlfn.XLOOKUP(1,(Asignaciones[N° Asp]=$A45)*(Asignaciones[Semana]=VALUE(SUBSTITUTE(M$1,"Semana ",""))),Asignaciones[Servicio],"")</f>
        <v/>
      </c>
      <c r="N45" s="8" t="str" cm="1">
        <f t="array" ref="N45">_xlfn.XLOOKUP(1,(Asignaciones[N° Asp]=$A45)*(Asignaciones[Semana]=VALUE(SUBSTITUTE(N$1,"Semana ",""))),Asignaciones[Servicio],"")</f>
        <v/>
      </c>
      <c r="O45" s="8" t="str" cm="1">
        <f t="array" ref="O45">_xlfn.XLOOKUP(1,(Asignaciones[N° Asp]=$A45)*(Asignaciones[Semana]=VALUE(SUBSTITUTE(O$1,"Semana ",""))),Asignaciones[Servicio],"")</f>
        <v/>
      </c>
    </row>
    <row r="46" spans="1:15" ht="15" thickBot="1" x14ac:dyDescent="0.35">
      <c r="A46" s="11">
        <v>43</v>
      </c>
      <c r="B46" s="9" t="str">
        <v>VICTORIA</v>
      </c>
      <c r="C46" s="30" t="str" cm="1">
        <f t="array" ref="C46">_xlfn.XLOOKUP(1,(Asignaciones[N° Asp]=$A46)*(Asignaciones[Semana]=VALUE(SUBSTITUTE(C$1,"Semana ",""))),Asignaciones[Servicio],"")</f>
        <v/>
      </c>
      <c r="D46" s="9" t="str" cm="1">
        <f t="array" ref="D46">_xlfn.XLOOKUP(1,(Asignaciones[N° Asp]=$A46)*(Asignaciones[Semana]=VALUE(SUBSTITUTE(D$1,"Semana ",""))),Asignaciones[Servicio],"")</f>
        <v/>
      </c>
      <c r="E46" s="9" t="str" cm="1">
        <f t="array" ref="E46">_xlfn.XLOOKUP(1,(Asignaciones[N° Asp]=$A46)*(Asignaciones[Semana]=VALUE(SUBSTITUTE(E$1,"Semana ",""))),Asignaciones[Servicio],"")</f>
        <v/>
      </c>
      <c r="F46" s="9" t="str" cm="1">
        <f t="array" ref="F46">_xlfn.XLOOKUP(1,(Asignaciones[N° Asp]=$A46)*(Asignaciones[Semana]=VALUE(SUBSTITUTE(F$1,"Semana ",""))),Asignaciones[Servicio],"")</f>
        <v/>
      </c>
      <c r="G46" s="9" t="str" cm="1">
        <f t="array" ref="G46">_xlfn.XLOOKUP(1,(Asignaciones[N° Asp]=$A46)*(Asignaciones[Semana]=VALUE(SUBSTITUTE(G$1,"Semana ",""))),Asignaciones[Servicio],"")</f>
        <v/>
      </c>
      <c r="H46" s="9" t="str" cm="1">
        <f t="array" ref="H46">_xlfn.XLOOKUP(1,(Asignaciones[N° Asp]=$A46)*(Asignaciones[Semana]=VALUE(SUBSTITUTE(H$1,"Semana ",""))),Asignaciones[Servicio],"")</f>
        <v>UCO</v>
      </c>
      <c r="I46" s="9" t="str" cm="1">
        <f t="array" ref="I46">_xlfn.XLOOKUP(1,(Asignaciones[N° Asp]=$A46)*(Asignaciones[Semana]=VALUE(SUBSTITUTE(I$1,"Semana ",""))),Asignaciones[Servicio],"")</f>
        <v/>
      </c>
      <c r="J46" s="32" t="str" cm="1">
        <f t="array" ref="J46">_xlfn.XLOOKUP(1,(Asignaciones[N° Asp]=$A46)*(Asignaciones[Semana]=VALUE(SUBSTITUTE(J$1,"Semana ",""))),Asignaciones[Servicio],"")</f>
        <v/>
      </c>
      <c r="K46" s="7" t="str" cm="1">
        <f t="array" ref="K46">_xlfn.XLOOKUP(1,(Asignaciones[N° Asp]=$A46)*(Asignaciones[Semana]=VALUE(SUBSTITUTE(K$1,"Semana ",""))),Asignaciones[Servicio],"")</f>
        <v/>
      </c>
      <c r="L46" s="9" t="str" cm="1">
        <f t="array" ref="L46">_xlfn.XLOOKUP(1,(Asignaciones[N° Asp]=$A46)*(Asignaciones[Semana]=VALUE(SUBSTITUTE(L$1,"Semana ",""))),Asignaciones[Servicio],"")</f>
        <v/>
      </c>
      <c r="M46" s="9" t="str" cm="1">
        <f t="array" ref="M46">_xlfn.XLOOKUP(1,(Asignaciones[N° Asp]=$A46)*(Asignaciones[Semana]=VALUE(SUBSTITUTE(M$1,"Semana ",""))),Asignaciones[Servicio],"")</f>
        <v/>
      </c>
      <c r="N46" s="9" t="str" cm="1">
        <f t="array" ref="N46">_xlfn.XLOOKUP(1,(Asignaciones[N° Asp]=$A46)*(Asignaciones[Semana]=VALUE(SUBSTITUTE(N$1,"Semana ",""))),Asignaciones[Servicio],"")</f>
        <v/>
      </c>
      <c r="O46" s="9" t="str" cm="1">
        <f t="array" ref="O46">_xlfn.XLOOKUP(1,(Asignaciones[N° Asp]=$A46)*(Asignaciones[Semana]=VALUE(SUBSTITUTE(O$1,"Semana ",""))),Asignaciones[Servicio],"")</f>
        <v/>
      </c>
    </row>
  </sheetData>
  <mergeCells count="2">
    <mergeCell ref="A1:B1"/>
    <mergeCell ref="A2:B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5692AD8-53C7-4DCE-989B-90B5B11EFA23}">
            <xm:f>Datos!$A$9</xm:f>
            <x14:dxf>
              <font>
                <color theme="1"/>
              </font>
              <fill>
                <patternFill>
                  <bgColor rgb="FF00B0F0"/>
                </patternFill>
              </fill>
            </x14:dxf>
          </x14:cfRule>
          <x14:cfRule type="cellIs" priority="2" operator="equal" id="{7B479E55-AAE6-4DB3-92DA-FEDA9288AC34}">
            <xm:f>Datos!$A$8</xm:f>
            <x14:dxf>
              <font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ellIs" priority="3" operator="equal" id="{B3DAA405-AEDE-4750-A4C9-1CA96DC8BF15}">
            <xm:f>Datos!$A$7</xm:f>
            <x14:dxf>
              <font>
                <color theme="1"/>
              </font>
              <fill>
                <patternFill>
                  <bgColor theme="9" tint="0.39994506668294322"/>
                </patternFill>
              </fill>
            </x14:dxf>
          </x14:cfRule>
          <x14:cfRule type="cellIs" priority="4" operator="equal" id="{7A08624C-B9ED-419F-9CCC-F1836AF2AC5A}">
            <xm:f>Datos!$A$6</xm:f>
            <x14:dxf>
              <font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ellIs" priority="5" operator="equal" id="{010B571F-3C9E-43B9-B2F6-F549ABB5FD41}">
            <xm:f>Datos!$A$5</xm:f>
            <x14:dxf>
              <font>
                <color theme="1"/>
              </font>
              <fill>
                <patternFill>
                  <bgColor theme="8" tint="0.59996337778862885"/>
                </patternFill>
              </fill>
            </x14:dxf>
          </x14:cfRule>
          <x14:cfRule type="cellIs" priority="6" operator="equal" id="{E6826DB2-529B-4BE0-8D6D-6C7CE9308B27}">
            <xm:f>Datos!$A$4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</x14:dxf>
          </x14:cfRule>
          <x14:cfRule type="cellIs" priority="7" operator="equal" id="{80ED2E0F-4C74-4251-9E29-76778E6E874B}">
            <xm:f>Datos!$A$3</xm:f>
            <x14:dxf>
              <font>
                <color theme="1"/>
              </font>
              <fill>
                <patternFill>
                  <bgColor theme="0" tint="-0.14996795556505021"/>
                </patternFill>
              </fill>
            </x14:dxf>
          </x14:cfRule>
          <x14:cfRule type="cellIs" priority="8" operator="equal" id="{A9292202-3C3B-48CE-A357-3C334654DC6D}">
            <xm:f>Datos!$A$2</xm:f>
            <x14:dxf>
              <font>
                <color theme="1"/>
              </font>
              <fill>
                <patternFill>
                  <bgColor rgb="FFFFEB9C"/>
                </patternFill>
              </fill>
            </x14:dxf>
          </x14:cfRule>
          <xm:sqref>C4:O46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Datos</vt:lpstr>
      <vt:lpstr>Tabla asignaciones</vt:lpstr>
      <vt:lpstr>Cronograma</vt:lpstr>
      <vt:lpstr>LSem</vt:lpstr>
      <vt:lpstr>LServ</vt:lpstr>
      <vt:lpstr>N°_Asp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oviedo</dc:creator>
  <cp:lastModifiedBy>Facundo Andres Oviedo</cp:lastModifiedBy>
  <dcterms:created xsi:type="dcterms:W3CDTF">2026-10-22T11:45:41Z</dcterms:created>
  <dcterms:modified xsi:type="dcterms:W3CDTF">2026-10-28T21:20:46Z</dcterms:modified>
</cp:coreProperties>
</file>