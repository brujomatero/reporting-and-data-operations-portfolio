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cuments\Portofolio\Institutional Academic Scheduling System\"/>
    </mc:Choice>
  </mc:AlternateContent>
  <xr:revisionPtr revIDLastSave="0" documentId="13_ncr:1_{AAC24CB2-8ED7-49A4-A0CD-224FD42F0E7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AS" sheetId="2" r:id="rId1"/>
    <sheet name="Carga" sheetId="1" r:id="rId2"/>
    <sheet name="Control Cantidad" sheetId="9" r:id="rId3"/>
  </sheets>
  <definedNames>
    <definedName name="Aulas_1">LISTAS!$C$1:$C$7</definedName>
    <definedName name="Aulas_2">LISTAS!$D$1:$D$6</definedName>
    <definedName name="Hora_TM">LISTAS!$E$1:$E$6</definedName>
    <definedName name="Hora_TT">LISTAS!$E$8:$E$12</definedName>
    <definedName name="Llamado_1">LISTAS!#REF!</definedName>
    <definedName name="Llamado_2">LISTAS!#REF!</definedName>
    <definedName name="LLamado_3">LISTAS!#REF!</definedName>
    <definedName name="Llamado_4">LISTAS!$F$1:$F$14</definedName>
    <definedName name="Materias_1">LISTAS!$A$1:$A$18</definedName>
    <definedName name="Materias_2">LISTAS!$B$1:$B$23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33" i="1"/>
  <c r="K8" i="1"/>
  <c r="K238" i="1"/>
  <c r="K66" i="1"/>
  <c r="K58" i="1"/>
  <c r="K47" i="1"/>
  <c r="K26" i="1"/>
  <c r="K98" i="1"/>
  <c r="K71" i="1"/>
  <c r="K209" i="1"/>
  <c r="K18" i="1"/>
  <c r="K216" i="1"/>
  <c r="K121" i="1"/>
  <c r="K160" i="1"/>
  <c r="K220" i="1"/>
  <c r="K97" i="1"/>
  <c r="K39" i="1"/>
  <c r="K211" i="1"/>
  <c r="K34" i="1"/>
  <c r="K89" i="1"/>
  <c r="K264" i="1"/>
  <c r="K3" i="1"/>
  <c r="K237" i="1"/>
  <c r="K17" i="1"/>
  <c r="K123" i="1"/>
  <c r="K91" i="1"/>
  <c r="K106" i="1"/>
  <c r="K228" i="1"/>
  <c r="K208" i="1"/>
  <c r="K83" i="1"/>
  <c r="K96" i="1"/>
  <c r="K262" i="1"/>
  <c r="K28" i="1"/>
  <c r="K100" i="1"/>
  <c r="K56" i="1"/>
  <c r="K92" i="1"/>
  <c r="K49" i="1"/>
  <c r="K104" i="1"/>
  <c r="K184" i="1"/>
  <c r="K75" i="1"/>
  <c r="K73" i="1"/>
  <c r="K22" i="1"/>
  <c r="K62" i="1"/>
  <c r="K32" i="1"/>
  <c r="K110" i="1"/>
  <c r="K260" i="1"/>
  <c r="K256" i="1"/>
  <c r="K240" i="1"/>
  <c r="K87" i="1"/>
  <c r="K182" i="1"/>
  <c r="K178" i="1"/>
  <c r="K42" i="1"/>
  <c r="K64" i="1"/>
  <c r="K242" i="1"/>
  <c r="K125" i="1"/>
  <c r="K51" i="1"/>
  <c r="K218" i="1"/>
  <c r="K252" i="1"/>
  <c r="K250" i="1"/>
  <c r="K24" i="1"/>
  <c r="K102" i="1"/>
  <c r="K165" i="1"/>
  <c r="K20" i="1"/>
  <c r="K60" i="1"/>
  <c r="K30" i="1"/>
  <c r="K108" i="1"/>
  <c r="K258" i="1"/>
  <c r="K254" i="1"/>
  <c r="K85" i="1"/>
  <c r="K180" i="1"/>
  <c r="K170" i="1"/>
  <c r="K205" i="1"/>
  <c r="K193" i="1"/>
  <c r="K234" i="1"/>
  <c r="K54" i="1"/>
  <c r="K69" i="1"/>
  <c r="K14" i="1"/>
  <c r="K176" i="1"/>
  <c r="K175" i="1"/>
  <c r="K192" i="1"/>
  <c r="K53" i="1"/>
  <c r="K68" i="1"/>
  <c r="K13" i="1"/>
  <c r="K204" i="1"/>
  <c r="K233" i="1"/>
  <c r="K174" i="1"/>
  <c r="K67" i="1"/>
  <c r="K191" i="1"/>
  <c r="K203" i="1"/>
  <c r="K52" i="1"/>
  <c r="K232" i="1"/>
  <c r="K12" i="1"/>
  <c r="K6" i="1"/>
  <c r="K190" i="1"/>
  <c r="K214" i="1"/>
  <c r="K223" i="1"/>
  <c r="K187" i="1"/>
  <c r="K81" i="1"/>
  <c r="K11" i="1"/>
  <c r="K5" i="1"/>
  <c r="K213" i="1"/>
  <c r="K189" i="1"/>
  <c r="K222" i="1"/>
  <c r="K80" i="1"/>
  <c r="K186" i="1"/>
  <c r="K10" i="1"/>
  <c r="K185" i="1"/>
  <c r="K212" i="1"/>
  <c r="K188" i="1"/>
  <c r="K4" i="1"/>
  <c r="K79" i="1"/>
  <c r="K9" i="1"/>
  <c r="K221" i="1"/>
  <c r="K267" i="1"/>
  <c r="K231" i="1"/>
  <c r="K226" i="1"/>
  <c r="K45" i="1"/>
  <c r="K37" i="1"/>
  <c r="K149" i="1"/>
  <c r="K146" i="1"/>
  <c r="K230" i="1"/>
  <c r="K36" i="1"/>
  <c r="K225" i="1"/>
  <c r="K266" i="1"/>
  <c r="K44" i="1"/>
  <c r="K145" i="1"/>
  <c r="K148" i="1"/>
  <c r="K224" i="1"/>
  <c r="K43" i="1"/>
  <c r="K229" i="1"/>
  <c r="K35" i="1"/>
  <c r="K265" i="1"/>
  <c r="K144" i="1"/>
  <c r="K147" i="1"/>
  <c r="K199" i="1"/>
  <c r="K143" i="1"/>
  <c r="K116" i="1"/>
  <c r="K134" i="1"/>
  <c r="K155" i="1"/>
  <c r="K137" i="1"/>
  <c r="K140" i="1"/>
  <c r="K198" i="1"/>
  <c r="K133" i="1"/>
  <c r="K154" i="1"/>
  <c r="K139" i="1"/>
  <c r="K142" i="1"/>
  <c r="K136" i="1"/>
  <c r="K115" i="1"/>
  <c r="K132" i="1"/>
  <c r="K153" i="1"/>
  <c r="K197" i="1"/>
  <c r="K138" i="1"/>
  <c r="K141" i="1"/>
  <c r="K114" i="1"/>
  <c r="K135" i="1"/>
  <c r="K131" i="1"/>
  <c r="K202" i="1"/>
  <c r="K119" i="1"/>
  <c r="K245" i="1"/>
  <c r="K158" i="1"/>
  <c r="K128" i="1"/>
  <c r="K248" i="1"/>
  <c r="K201" i="1"/>
  <c r="K244" i="1"/>
  <c r="K127" i="1"/>
  <c r="K157" i="1"/>
  <c r="K130" i="1"/>
  <c r="K247" i="1"/>
  <c r="K118" i="1"/>
  <c r="K129" i="1"/>
  <c r="K156" i="1"/>
  <c r="K200" i="1"/>
  <c r="K243" i="1"/>
  <c r="K246" i="1"/>
  <c r="K117" i="1"/>
  <c r="K126" i="1"/>
  <c r="K163" i="1"/>
  <c r="K196" i="1"/>
  <c r="K113" i="1"/>
  <c r="K173" i="1"/>
  <c r="K152" i="1"/>
  <c r="K78" i="1"/>
  <c r="K168" i="1"/>
  <c r="K195" i="1"/>
  <c r="K167" i="1"/>
  <c r="K151" i="1"/>
  <c r="K162" i="1"/>
  <c r="K77" i="1"/>
  <c r="K172" i="1"/>
  <c r="K112" i="1"/>
  <c r="K76" i="1"/>
  <c r="K150" i="1"/>
  <c r="K194" i="1"/>
  <c r="K166" i="1"/>
  <c r="K171" i="1"/>
  <c r="K111" i="1"/>
  <c r="K109" i="1"/>
  <c r="K259" i="1"/>
  <c r="K21" i="1"/>
  <c r="K255" i="1"/>
  <c r="K31" i="1"/>
  <c r="K181" i="1"/>
  <c r="K61" i="1"/>
  <c r="K86" i="1"/>
  <c r="K177" i="1"/>
  <c r="K239" i="1"/>
  <c r="K107" i="1"/>
  <c r="K257" i="1"/>
  <c r="K169" i="1"/>
  <c r="K179" i="1"/>
  <c r="K19" i="1"/>
  <c r="K164" i="1"/>
  <c r="K29" i="1"/>
  <c r="K253" i="1"/>
  <c r="K84" i="1"/>
  <c r="K59" i="1"/>
  <c r="K41" i="1"/>
  <c r="K101" i="1"/>
  <c r="K23" i="1"/>
  <c r="K124" i="1"/>
  <c r="K241" i="1"/>
  <c r="K217" i="1"/>
  <c r="K63" i="1"/>
  <c r="K50" i="1"/>
  <c r="K249" i="1"/>
  <c r="K251" i="1"/>
  <c r="K27" i="1"/>
  <c r="K261" i="1"/>
  <c r="K72" i="1"/>
  <c r="K55" i="1"/>
  <c r="K103" i="1"/>
  <c r="K99" i="1"/>
  <c r="K48" i="1"/>
  <c r="K183" i="1"/>
  <c r="K40" i="1"/>
  <c r="K74" i="1"/>
  <c r="K235" i="1"/>
  <c r="K105" i="1"/>
  <c r="K90" i="1"/>
  <c r="K82" i="1"/>
  <c r="K15" i="1"/>
  <c r="K2" i="1"/>
  <c r="K227" i="1"/>
  <c r="K122" i="1"/>
  <c r="K206" i="1"/>
  <c r="K93" i="1"/>
  <c r="K38" i="1"/>
  <c r="K88" i="1"/>
  <c r="K210" i="1"/>
  <c r="K215" i="1"/>
  <c r="K219" i="1"/>
  <c r="K120" i="1"/>
  <c r="K159" i="1"/>
  <c r="K263" i="1"/>
  <c r="K33" i="1"/>
  <c r="K94" i="1"/>
  <c r="K7" i="1"/>
  <c r="K25" i="1"/>
  <c r="K16" i="1"/>
  <c r="K70" i="1"/>
  <c r="K57" i="1"/>
  <c r="K95" i="1"/>
  <c r="K65" i="1"/>
  <c r="K236" i="1"/>
  <c r="K46" i="1"/>
  <c r="K207" i="1"/>
  <c r="K161" i="1"/>
</calcChain>
</file>

<file path=xl/sharedStrings.xml><?xml version="1.0" encoding="utf-8"?>
<sst xmlns="http://schemas.openxmlformats.org/spreadsheetml/2006/main" count="1782" uniqueCount="118">
  <si>
    <t>Año</t>
  </si>
  <si>
    <t>Materia</t>
  </si>
  <si>
    <t>Inglés I</t>
  </si>
  <si>
    <t>Aula</t>
  </si>
  <si>
    <t>Inglés II</t>
  </si>
  <si>
    <t>Orientación</t>
  </si>
  <si>
    <t>Llamado</t>
  </si>
  <si>
    <t>Fecha</t>
  </si>
  <si>
    <t>Turno</t>
  </si>
  <si>
    <t>Hora</t>
  </si>
  <si>
    <t>Observaciones</t>
  </si>
  <si>
    <t>Resumen</t>
  </si>
  <si>
    <t>Etiquetas de fila</t>
  </si>
  <si>
    <t>Total general</t>
  </si>
  <si>
    <t>Etiquetas de columna</t>
  </si>
  <si>
    <t>Control de Materias</t>
  </si>
  <si>
    <t>ORU1</t>
  </si>
  <si>
    <t>ING1</t>
  </si>
  <si>
    <t>RUE1</t>
  </si>
  <si>
    <t>CM1</t>
  </si>
  <si>
    <t>CM2</t>
  </si>
  <si>
    <t>CM3</t>
  </si>
  <si>
    <t>ORU2</t>
  </si>
  <si>
    <t>ING2</t>
  </si>
  <si>
    <t>RUE2</t>
  </si>
  <si>
    <t>CM4</t>
  </si>
  <si>
    <t>CM5</t>
  </si>
  <si>
    <t>Metrología y Representación Gráfica</t>
  </si>
  <si>
    <t>Seguridad e Higiene en el Trabajo</t>
  </si>
  <si>
    <t>Régimen Funcional de Arsenales</t>
  </si>
  <si>
    <t>Sistemas Hidráulicos y Neumáticos</t>
  </si>
  <si>
    <t>Termodinámica y Motores de Combustión Interna I</t>
  </si>
  <si>
    <t>Tecnología del Automotor</t>
  </si>
  <si>
    <t>Procesos Mecánicos</t>
  </si>
  <si>
    <t>Representación Gráfica Asistida por Computadora</t>
  </si>
  <si>
    <t>Termodinámica y Motores de Combustión Interna II</t>
  </si>
  <si>
    <t>Técnica y Metodología Operativa en Vehículos a Rueda</t>
  </si>
  <si>
    <t>Técnica y Metodología Operativa en Vehículos Blindados</t>
  </si>
  <si>
    <t>Técnica y Metodología Operativa en Sistemas Eléctricos y Electrónicos del Vehículo</t>
  </si>
  <si>
    <t>Técnica y Metodología Operativa en Equipos y Máquinas de Ingenieros</t>
  </si>
  <si>
    <t>Técnica y Metodología Operativa en Vehículos de Ejército</t>
  </si>
  <si>
    <t>Tecnologías de los Sistemas Eléctricos de Vehículos a Rueda I</t>
  </si>
  <si>
    <t>Tecnologías de los Sistemas de Vehículos Blindados</t>
  </si>
  <si>
    <t>Tecnologías de Autotrónica</t>
  </si>
  <si>
    <t>Tecnologías de Automoción</t>
  </si>
  <si>
    <t>Transporte, Logística y Abastecimiento I</t>
  </si>
  <si>
    <t>Sistemas Mecánicos en Vehículos a Rueda</t>
  </si>
  <si>
    <t>Sistemas Mecánicos en Vehículos Blindados</t>
  </si>
  <si>
    <t>Sistemas Electromecánicos del Automotor</t>
  </si>
  <si>
    <t>Sistemas de los Equipos y Máquinas de Ingenieros</t>
  </si>
  <si>
    <t>Sistemas del Automotor</t>
  </si>
  <si>
    <t>Tecnologías de Vehículos a Rueda</t>
  </si>
  <si>
    <t>Tecnologías de Vehículos Blindados</t>
  </si>
  <si>
    <t>Tecnologías de los Sistemas Eléctricos y Electrónicos del Automotor</t>
  </si>
  <si>
    <t>Tecnologías de Equipos y Máquinas de Ingenieros</t>
  </si>
  <si>
    <t>Tecnologías de Mantenimiento Preventivo en Vehículos</t>
  </si>
  <si>
    <t>Técnicas y Metodologías de Mantenimiento en Vehículos a Rueda</t>
  </si>
  <si>
    <t>Técnicas y Metodologías de Mantenimiento en Vehículos Blindados</t>
  </si>
  <si>
    <t>Técnicas y Metodologías de Mantenimiento en los Sistemas Eléctricos y Electrónicos de Automotores</t>
  </si>
  <si>
    <t>Técnicas y Metodologías de Mantenimiento en Equipos y Máquinas de Ingenieros</t>
  </si>
  <si>
    <t>Técnicas y Metodologías de Operación en Vehículos</t>
  </si>
  <si>
    <t>Sistemas Eléctricos y Electrónicos en Vehículos a Rueda</t>
  </si>
  <si>
    <t>Sistemas Eléctricos y Electrónicos en Vehículos Blindados</t>
  </si>
  <si>
    <t>Sistemas de Autotrónica</t>
  </si>
  <si>
    <t>Sistemas Eléctricos y Electrónicos en Equipos y Máquinas de Ingenieros</t>
  </si>
  <si>
    <t>Transporte, Logística y Abastecimiento II</t>
  </si>
  <si>
    <t>Mecánico Motorista a Rueda</t>
  </si>
  <si>
    <t>Mecánico Motorista a Oruga</t>
  </si>
  <si>
    <t>Mecánico Motorista Electricista</t>
  </si>
  <si>
    <t>Mecánico de Ingenieros</t>
  </si>
  <si>
    <t>ELEC2</t>
  </si>
  <si>
    <t>ELEC1</t>
  </si>
  <si>
    <t>1.º</t>
  </si>
  <si>
    <t>1er Llamado</t>
  </si>
  <si>
    <t>TM</t>
  </si>
  <si>
    <t>TT</t>
  </si>
  <si>
    <t>Conductor Motorista</t>
  </si>
  <si>
    <t>2do Llamado</t>
  </si>
  <si>
    <t>2.º</t>
  </si>
  <si>
    <t>3er Llamado</t>
  </si>
  <si>
    <t>Automotores</t>
  </si>
  <si>
    <t xml:space="preserve"> Sergio</t>
  </si>
  <si>
    <t xml:space="preserve"> José María</t>
  </si>
  <si>
    <t xml:space="preserve"> Daniela Alejandra </t>
  </si>
  <si>
    <t xml:space="preserve"> Gianfranco</t>
  </si>
  <si>
    <t xml:space="preserve"> Bernardo Daniel</t>
  </si>
  <si>
    <t xml:space="preserve"> Lucio Andrés </t>
  </si>
  <si>
    <t xml:space="preserve"> Rene Julio</t>
  </si>
  <si>
    <t xml:space="preserve"> Alejandro José Leónides </t>
  </si>
  <si>
    <t xml:space="preserve"> Marina Paula </t>
  </si>
  <si>
    <t xml:space="preserve"> Noelia Cecilia </t>
  </si>
  <si>
    <t xml:space="preserve"> José Oscar</t>
  </si>
  <si>
    <t xml:space="preserve"> Martin Alfredo</t>
  </si>
  <si>
    <t xml:space="preserve"> Marcelo Eduardo</t>
  </si>
  <si>
    <t xml:space="preserve"> Víctor Manuel </t>
  </si>
  <si>
    <t xml:space="preserve"> Hernán Ariel </t>
  </si>
  <si>
    <t xml:space="preserve"> Carlos</t>
  </si>
  <si>
    <t xml:space="preserve"> Alberto Rubén </t>
  </si>
  <si>
    <t xml:space="preserve"> Emiliano</t>
  </si>
  <si>
    <t xml:space="preserve"> Lucia</t>
  </si>
  <si>
    <t xml:space="preserve"> Miqueas</t>
  </si>
  <si>
    <t xml:space="preserve"> Alexis</t>
  </si>
  <si>
    <t xml:space="preserve"> Manuel</t>
  </si>
  <si>
    <t xml:space="preserve"> Osvaldo</t>
  </si>
  <si>
    <t xml:space="preserve"> Héctor</t>
  </si>
  <si>
    <t xml:space="preserve"> Hernán Darío </t>
  </si>
  <si>
    <t xml:space="preserve"> Lucas</t>
  </si>
  <si>
    <t xml:space="preserve"> Jonatan </t>
  </si>
  <si>
    <t xml:space="preserve"> Aracelli</t>
  </si>
  <si>
    <t>Docente Titular</t>
  </si>
  <si>
    <t>Primer año equivale a todas las aulas con un "1" al final. Esas tienen 2 llamados</t>
  </si>
  <si>
    <t>Segundo año equivale a todas las aulas con un "2" al final. Esas tienen 3 llamados</t>
  </si>
  <si>
    <t>Según el total de materias, cada aula de Primer Año debe tener 20 mesas entre los 2 llamados y 2 llamados por materia.</t>
  </si>
  <si>
    <t>Según el total de materias, cada aula de Primer Año debe tener 21 mesas entre los 3 llamados y 3 llamados por materia.</t>
  </si>
  <si>
    <t>First Year corresponds to all classrooms with a "1" at the end of their name. These classrooms have 2 exam sessions.</t>
  </si>
  <si>
    <t>According to the total number of subjects, each First Year classroom must have 20 exam boards distributed across the 2 exam sessions, with 2 exam boards per subject.</t>
  </si>
  <si>
    <t>Second Year corresponds to all classrooms with a "2" at the end of their name. These classrooms have 3 exam sessions.</t>
  </si>
  <si>
    <t>According to the total number of subjects, each Second Year classroom must have 21 exam boards distributed across the 3 exam sessions, with 3 exam boards per subject.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</si>
</sst>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8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55E"/>
        <bgColor rgb="FF1C3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/>
    <xf numFmtId="14" fontId="1" fillId="0" borderId="0" xfId="0" applyNumberFormat="1" applyFont="1" applyAlignment="1">
      <alignment vertical="center" wrapText="1"/>
    </xf>
    <xf numFmtId="20" fontId="1" fillId="0" borderId="0" xfId="0" applyNumberFormat="1" applyFont="1"/>
    <xf numFmtId="20" fontId="1" fillId="0" borderId="0" xfId="0" applyNumberFormat="1" applyFont="1" applyAlignment="1">
      <alignment vertical="center" wrapText="1"/>
    </xf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vertical="center" wrapText="1"/>
    </xf>
    <xf numFmtId="14" fontId="2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5" formatCode="hh:mm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1C355E"/>
          <bgColor rgb="FF1C355E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23.70199872685" createdVersion="8" refreshedVersion="8" minRefreshableVersion="3" recordCount="266" xr:uid="{00000000-000A-0000-FFFF-FFFF18000000}">
  <cacheSource type="worksheet">
    <worksheetSource name="Listado"/>
  </cacheSource>
  <cacheFields count="11">
    <cacheField name="Año" numFmtId="0">
      <sharedItems/>
    </cacheField>
    <cacheField name="Materia" numFmtId="0">
      <sharedItems containsBlank="1" count="42">
        <s v="Inglés I"/>
        <s v="Inglés II"/>
        <s v="Procesos Mecánicos"/>
        <s v="Técnicas y Metodologías de Operación en Vehículos"/>
        <s v="Transporte, Logística y Abastecimiento II"/>
        <s v="Seguridad e Higiene en el Trabajo"/>
        <s v="Metrología y Representación Gráfica"/>
        <s v="Sistemas Hidráulicos y Neumáticos"/>
        <s v="Tecnología del Automotor"/>
        <s v="Termodinámica y Motores de Combustión Interna II"/>
        <s v="Representación Gráfica Asistida por Computadora"/>
        <s v="Técnica y Metodología Operativa en Vehículos a Rueda"/>
        <s v="Termodinámica y Motores de Combustión Interna I"/>
        <s v="Régimen Funcional de Arsenales"/>
        <s v="Sistemas Eléctricos y Electrónicos en Equipos y Máquinas de Ingenieros"/>
        <s v="Tecnologías de Mantenimiento Preventivo en Vehículos"/>
        <s v="Técnica y Metodología Operativa en Vehículos de Ejército"/>
        <s v="Técnicas y Metodologías de Mantenimiento en los Sistemas Eléctricos y Electrónicos de Automotores"/>
        <s v="Tecnologías de los Sistemas Eléctricos y Electrónicos del Automotor"/>
        <s v="Sistemas Mecánicos en Vehículos Blindados"/>
        <s v="Técnicas y Metodologías de Mantenimiento en Vehículos Blindados"/>
        <s v="Tecnologías de Vehículos Blindados"/>
        <s v="Sistemas Eléctricos y Electrónicos en Vehículos Blindados"/>
        <s v="Sistemas Mecánicos en Vehículos a Rueda"/>
        <s v="Técnicas y Metodologías de Mantenimiento en Vehículos a Rueda"/>
        <s v="Técnicas y Metodologías de Mantenimiento en Equipos y Máquinas de Ingenieros"/>
        <s v="Tecnologías de Automoción"/>
        <s v="Sistemas de los Equipos y Máquinas de Ingenieros"/>
        <s v="Técnica y Metodología Operativa en Equipos y Máquinas de Ingenieros"/>
        <s v="Tecnologías de Equipos y Máquinas de Ingenieros"/>
        <s v="Sistemas del Automotor"/>
        <s v="Técnica y Metodología Operativa en Vehículos Blindados"/>
        <s v="Transporte, Logística y Abastecimiento I"/>
        <s v="Sistemas Eléctricos y Electrónicos en Vehículos a Rueda"/>
        <s v="Tecnologías de Vehículos a Rueda"/>
        <s v="Tecnologías de los Sistemas de Vehículos Blindados"/>
        <s v="Sistemas de Autotrónica"/>
        <s v="Sistemas Electromecánicos del Automotor"/>
        <s v="Técnica y Metodología Operativa en Sistemas Eléctricos y Electrónicos del Vehículo"/>
        <s v="Tecnologías de Autotrónica"/>
        <s v="Tecnologías de los Sistemas Eléctricos de Vehículos a Rueda I"/>
        <m u="1"/>
      </sharedItems>
    </cacheField>
    <cacheField name="Aula" numFmtId="0">
      <sharedItems containsBlank="1" count="39">
        <s v="CM1"/>
        <s v="CM4"/>
        <s v="CM3"/>
        <s v="CM5"/>
        <s v="ING1"/>
        <s v="ORU1"/>
        <s v="ELEC1"/>
        <s v="RUE1"/>
        <s v="CM2"/>
        <s v="RUE2"/>
        <s v="ING2"/>
        <s v="ORU2"/>
        <s v="ELEC2"/>
        <m u="1"/>
        <s v="Aula 9" u="1"/>
        <s v="16 B Batería de Artillería" u="1"/>
        <s v="18 B Comunicaciones" u="1"/>
        <s v="13 B Infantería A" u="1"/>
        <s v="Aula 10" u="1"/>
        <s v="Aula 11" u="1"/>
        <s v="Aula 12" u="1"/>
        <s v="15 B Caballería" u="1"/>
        <s v="Aula 13" u="1"/>
        <s v="14 B Infantería B" u="1"/>
        <s v="Aula 14" u="1"/>
        <s v="Aula 1" u="1"/>
        <s v="Aula 15" u="1"/>
        <s v="Aula 2" u="1"/>
        <s v="Aula 16" u="1"/>
        <s v="Aula 3" u="1"/>
        <s v="Aula 17" u="1"/>
        <s v="Aula 4" u="1"/>
        <s v="Aula 5" u="1"/>
        <s v="Aula 18" u="1"/>
        <s v="Aula 6" u="1"/>
        <s v="Aula 19" u="1"/>
        <s v="Aula 7" u="1"/>
        <s v="17 B Ingenieros" u="1"/>
        <s v="Aula 8" u="1"/>
      </sharedItems>
    </cacheField>
    <cacheField name="Orientación" numFmtId="0">
      <sharedItems/>
    </cacheField>
    <cacheField name="Llamado" numFmtId="0">
      <sharedItems/>
    </cacheField>
    <cacheField name="Fecha" numFmtId="14">
      <sharedItems containsSemiMixedTypes="0" containsNonDate="0" containsDate="1" containsString="0" minDate="2025-11-19T00:00:00" maxDate="2025-12-12T00:00:00"/>
    </cacheField>
    <cacheField name="Turno" numFmtId="0">
      <sharedItems/>
    </cacheField>
    <cacheField name="Hora" numFmtId="20">
      <sharedItems containsSemiMixedTypes="0" containsNonDate="0" containsDate="1" containsString="0" minDate="1899-12-30T07:10:00" maxDate="1899-12-30T17:30:00"/>
    </cacheField>
    <cacheField name="Docente Titular" numFmtId="0">
      <sharedItems containsBlank="1"/>
    </cacheField>
    <cacheField name="Observaciones" numFmtId="0">
      <sharedItems containsNonDate="0" containsString="0" containsBlank="1"/>
    </cacheField>
    <cacheField name="Resumen" numFmtId="0">
      <sharedItems/>
    </cacheField>
  </cacheFields>
  <extLst>
    <ext xmlns:x14="http://schemas.microsoft.com/office/spreadsheetml/2009/9/main" uri="{725AE2AE-9491-48be-B2B4-4EB974FC3084}">
      <x14:pivotCacheDefinition pivotCacheId="271185742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6">
  <r>
    <s v="1.º"/>
    <x v="0"/>
    <x v="0"/>
    <s v="Conductor Motorista"/>
    <s v="1er Llamado"/>
    <d v="2025-11-25T00:00:00"/>
    <s v="TT"/>
    <d v="1899-12-30T15:10:00"/>
    <s v=" Sergio"/>
    <m/>
    <s v="Inglés I - CM1 -  Sergio"/>
  </r>
  <r>
    <s v="1.º"/>
    <x v="0"/>
    <x v="0"/>
    <s v="Conductor Motorista"/>
    <s v="2do Llamado"/>
    <d v="2025-12-09T00:00:00"/>
    <s v="TT"/>
    <d v="1899-12-30T15:10:00"/>
    <s v=" Sergio"/>
    <m/>
    <s v="Inglés I - CM1 -  Sergio"/>
  </r>
  <r>
    <s v="2.º"/>
    <x v="1"/>
    <x v="1"/>
    <s v="Conductor Motorista"/>
    <s v="1er Llamado"/>
    <d v="2025-11-24T00:00:00"/>
    <s v="TM"/>
    <d v="1899-12-30T09:30:00"/>
    <s v=" Sergio"/>
    <m/>
    <s v="Inglés II - CM4 -  Sergio"/>
  </r>
  <r>
    <s v="2.º"/>
    <x v="1"/>
    <x v="1"/>
    <s v="Conductor Motorista"/>
    <s v="2do Llamado"/>
    <d v="2025-12-02T00:00:00"/>
    <s v="TT"/>
    <d v="1899-12-30T17:30:00"/>
    <s v=" Sergio"/>
    <m/>
    <s v="Inglés II - CM4 -  Sergio"/>
  </r>
  <r>
    <s v="2.º"/>
    <x v="1"/>
    <x v="1"/>
    <s v="Conductor Motorista"/>
    <s v="3er Llamado"/>
    <d v="2025-12-09T00:00:00"/>
    <s v="TT"/>
    <d v="1899-12-30T17:30:00"/>
    <s v=" Sergio"/>
    <m/>
    <s v="Inglés II - CM4 -  Sergio"/>
  </r>
  <r>
    <s v="1.º"/>
    <x v="2"/>
    <x v="2"/>
    <s v="Conductor Motorista"/>
    <s v="1er Llamado"/>
    <d v="2025-11-19T00:00:00"/>
    <s v="TM"/>
    <d v="1899-12-30T09:30:00"/>
    <s v=" José María"/>
    <m/>
    <s v="Procesos Mecánicos - CM3 -  José María"/>
  </r>
  <r>
    <s v="1.º"/>
    <x v="2"/>
    <x v="2"/>
    <s v="Conductor Motorista"/>
    <s v="2do Llamado"/>
    <d v="2025-12-10T00:00:00"/>
    <s v="TM"/>
    <d v="1899-12-30T09:30:00"/>
    <s v=" José María"/>
    <m/>
    <s v="Procesos Mecánicos - CM3 -  José María"/>
  </r>
  <r>
    <s v="2.º"/>
    <x v="3"/>
    <x v="1"/>
    <s v="Conductor Motorista"/>
    <s v="1er Llamado"/>
    <d v="2025-11-25T00:00:00"/>
    <s v="TM"/>
    <d v="1899-12-30T07:10:00"/>
    <s v=" José María"/>
    <m/>
    <s v="Técnicas y Metodologías de Operación en Vehículos - CM4 -  José María"/>
  </r>
  <r>
    <s v="2.º"/>
    <x v="3"/>
    <x v="1"/>
    <s v="Conductor Motorista"/>
    <s v="2do Llamado"/>
    <d v="2025-12-01T00:00:00"/>
    <s v="TM"/>
    <d v="1899-12-30T07:10:00"/>
    <s v=" José María"/>
    <m/>
    <s v="Técnicas y Metodologías de Operación en Vehículos - CM4 -  José María"/>
  </r>
  <r>
    <s v="2.º"/>
    <x v="3"/>
    <x v="1"/>
    <s v="Conductor Motorista"/>
    <s v="3er Llamado"/>
    <d v="2025-12-09T00:00:00"/>
    <s v="TM"/>
    <d v="1899-12-30T07:10:00"/>
    <s v=" José María"/>
    <m/>
    <s v="Técnicas y Metodologías de Operación en Vehículos - CM4 -  José María"/>
  </r>
  <r>
    <s v="2.º"/>
    <x v="4"/>
    <x v="3"/>
    <s v="Conductor Motorista"/>
    <s v="1er Llamado"/>
    <d v="2025-11-19T00:00:00"/>
    <s v="TM"/>
    <d v="1899-12-30T07:10:00"/>
    <s v=" José María"/>
    <m/>
    <s v="Transporte, Logística y Abastecimiento II - CM5 -  José María"/>
  </r>
  <r>
    <s v="2.º"/>
    <x v="4"/>
    <x v="3"/>
    <s v="Conductor Motorista"/>
    <s v="2do Llamado"/>
    <d v="2025-12-03T00:00:00"/>
    <s v="TM"/>
    <d v="1899-12-30T07:10:00"/>
    <s v=" José María"/>
    <m/>
    <s v="Transporte, Logística y Abastecimiento II - CM5 -  José María"/>
  </r>
  <r>
    <s v="2.º"/>
    <x v="4"/>
    <x v="3"/>
    <s v="Conductor Motorista"/>
    <s v="3er Llamado"/>
    <d v="2025-12-10T00:00:00"/>
    <s v="TM"/>
    <d v="1899-12-30T07:10:00"/>
    <s v=" José María"/>
    <m/>
    <s v="Transporte, Logística y Abastecimiento II - CM5 -  José María"/>
  </r>
  <r>
    <s v="1.º"/>
    <x v="5"/>
    <x v="0"/>
    <s v="Conductor Motorista"/>
    <s v="1er Llamado"/>
    <d v="2025-11-25T00:00:00"/>
    <s v="TM"/>
    <d v="1899-12-30T09:30:00"/>
    <s v=" Daniela Alejandra "/>
    <m/>
    <s v="Seguridad e Higiene en el Trabajo - CM1 -  Daniela Alejandra "/>
  </r>
  <r>
    <s v="1.º"/>
    <x v="5"/>
    <x v="2"/>
    <s v="Conductor Motorista"/>
    <s v="1er Llamado"/>
    <d v="2025-11-24T00:00:00"/>
    <s v="TM"/>
    <d v="1899-12-30T07:10:00"/>
    <s v=" Daniela Alejandra "/>
    <m/>
    <s v="Seguridad e Higiene en el Trabajo - CM3 -  Daniela Alejandra "/>
  </r>
  <r>
    <s v="1.º"/>
    <x v="5"/>
    <x v="0"/>
    <s v="Conductor Motorista"/>
    <s v="2do Llamado"/>
    <d v="2025-12-09T00:00:00"/>
    <s v="TM"/>
    <d v="1899-12-30T09:30:00"/>
    <s v=" Daniela Alejandra "/>
    <m/>
    <s v="Seguridad e Higiene en el Trabajo - CM1 -  Daniela Alejandra "/>
  </r>
  <r>
    <s v="1.º"/>
    <x v="5"/>
    <x v="2"/>
    <s v="Conductor Motorista"/>
    <s v="2do Llamado"/>
    <d v="2025-12-01T00:00:00"/>
    <s v="TM"/>
    <d v="1899-12-30T07:10:00"/>
    <s v=" Daniela Alejandra "/>
    <m/>
    <s v="Seguridad e Higiene en el Trabajo - CM3 -  Daniela Alejandra "/>
  </r>
  <r>
    <s v="1.º"/>
    <x v="5"/>
    <x v="4"/>
    <s v="Mecánico de Ingenieros"/>
    <s v="1er Llamado"/>
    <d v="2025-11-25T00:00:00"/>
    <s v="TM"/>
    <d v="1899-12-30T07:10:00"/>
    <s v=" Daniela Alejandra "/>
    <m/>
    <s v="Seguridad e Higiene en el Trabajo - ING1 -  Daniela Alejandra "/>
  </r>
  <r>
    <s v="1.º"/>
    <x v="5"/>
    <x v="4"/>
    <s v="Mecánico de Ingenieros"/>
    <s v="2do Llamado"/>
    <d v="2025-12-09T00:00:00"/>
    <s v="TM"/>
    <d v="1899-12-30T09:30:00"/>
    <s v=" Daniela Alejandra "/>
    <m/>
    <s v="Seguridad e Higiene en el Trabajo - ING1 -  Daniela Alejandra "/>
  </r>
  <r>
    <s v="1.º"/>
    <x v="5"/>
    <x v="5"/>
    <s v="Mecánico Motorista a Oruga"/>
    <s v="1er Llamado"/>
    <d v="2025-11-25T00:00:00"/>
    <s v="TM"/>
    <d v="1899-12-30T07:10:00"/>
    <s v=" Daniela Alejandra "/>
    <m/>
    <s v="Seguridad e Higiene en el Trabajo - ORU1 -  Daniela Alejandra "/>
  </r>
  <r>
    <s v="1.º"/>
    <x v="5"/>
    <x v="5"/>
    <s v="Mecánico Motorista a Oruga"/>
    <s v="2do Llamado"/>
    <d v="2025-12-09T00:00:00"/>
    <s v="TM"/>
    <d v="1899-12-30T09:30:00"/>
    <s v=" Daniela Alejandra "/>
    <m/>
    <s v="Seguridad e Higiene en el Trabajo - ORU1 -  Daniela Alejandra "/>
  </r>
  <r>
    <s v="1.º"/>
    <x v="5"/>
    <x v="6"/>
    <s v="Mecánico Motorista Electricista"/>
    <s v="1er Llamado"/>
    <d v="2025-11-24T00:00:00"/>
    <s v="TM"/>
    <d v="1899-12-30T09:30:00"/>
    <s v=" Daniela Alejandra "/>
    <m/>
    <s v="Seguridad e Higiene en el Trabajo - ELEC1 -  Daniela Alejandra "/>
  </r>
  <r>
    <s v="1.º"/>
    <x v="5"/>
    <x v="6"/>
    <s v="Mecánico Motorista Electricista"/>
    <s v="2do Llamado"/>
    <d v="2025-12-01T00:00:00"/>
    <s v="TM"/>
    <d v="1899-12-30T09:30:00"/>
    <s v=" Daniela Alejandra "/>
    <m/>
    <s v="Seguridad e Higiene en el Trabajo - ELEC1 -  Daniela Alejandra "/>
  </r>
  <r>
    <s v="1.º"/>
    <x v="6"/>
    <x v="2"/>
    <s v="Conductor Motorista"/>
    <s v="1er Llamado"/>
    <d v="2025-11-20T00:00:00"/>
    <s v="TM"/>
    <d v="1899-12-30T07:10:00"/>
    <s v=" Gianfranco"/>
    <m/>
    <s v="Metrología y Representación Gráfica - CM3 -  Gianfranco"/>
  </r>
  <r>
    <s v="1.º"/>
    <x v="6"/>
    <x v="2"/>
    <s v="Conductor Motorista"/>
    <s v="2do Llamado"/>
    <d v="2025-12-02T00:00:00"/>
    <s v="TM"/>
    <d v="1899-12-30T09:30:00"/>
    <s v=" Gianfranco"/>
    <m/>
    <s v="Metrología y Representación Gráfica - CM3 -  Gianfranco"/>
  </r>
  <r>
    <s v="1.º"/>
    <x v="2"/>
    <x v="7"/>
    <s v="Mecánico Motorista a Rueda"/>
    <s v="1er Llamado"/>
    <d v="2025-11-19T00:00:00"/>
    <s v="TM"/>
    <d v="1899-12-30T07:10:00"/>
    <s v=" Gianfranco"/>
    <m/>
    <s v="Procesos Mecánicos - RUE1 -  Gianfranco"/>
  </r>
  <r>
    <s v="1.º"/>
    <x v="2"/>
    <x v="7"/>
    <s v="Mecánico Motorista a Rueda"/>
    <s v="2do Llamado"/>
    <d v="2025-12-10T00:00:00"/>
    <s v="TM"/>
    <d v="1899-12-30T07:10:00"/>
    <s v=" Gianfranco"/>
    <m/>
    <s v="Procesos Mecánicos - RUE1 -  Gianfranco"/>
  </r>
  <r>
    <s v="1.º"/>
    <x v="7"/>
    <x v="4"/>
    <s v="Mecánico de Ingenieros"/>
    <s v="1er Llamado"/>
    <d v="2025-11-26T00:00:00"/>
    <s v="TM"/>
    <d v="1899-12-30T07:10:00"/>
    <s v=" Gianfranco"/>
    <m/>
    <s v="Sistemas Hidráulicos y Neumáticos - ING1 -  Gianfranco"/>
  </r>
  <r>
    <s v="1.º"/>
    <x v="7"/>
    <x v="4"/>
    <s v="Mecánico de Ingenieros"/>
    <s v="2do Llamado"/>
    <d v="2025-12-04T00:00:00"/>
    <s v="TM"/>
    <d v="1899-12-30T07:10:00"/>
    <s v=" Gianfranco"/>
    <m/>
    <s v="Sistemas Hidráulicos y Neumáticos - ING1 -  Gianfranco"/>
  </r>
  <r>
    <s v="1.º"/>
    <x v="7"/>
    <x v="5"/>
    <s v="Mecánico Motorista a Oruga"/>
    <s v="1er Llamado"/>
    <d v="2025-11-26T00:00:00"/>
    <s v="TM"/>
    <d v="1899-12-30T07:10:00"/>
    <s v=" Gianfranco"/>
    <m/>
    <s v="Sistemas Hidráulicos y Neumáticos - ORU1 -  Gianfranco"/>
  </r>
  <r>
    <s v="1.º"/>
    <x v="7"/>
    <x v="5"/>
    <s v="Mecánico Motorista a Oruga"/>
    <s v="2do Llamado"/>
    <d v="2025-12-04T00:00:00"/>
    <s v="TM"/>
    <d v="1899-12-30T07:10:00"/>
    <s v=" Gianfranco"/>
    <m/>
    <s v="Sistemas Hidráulicos y Neumáticos - ORU1 -  Gianfranco"/>
  </r>
  <r>
    <s v="1.º"/>
    <x v="8"/>
    <x v="8"/>
    <s v="Automotores"/>
    <s v="1er Llamado"/>
    <d v="2025-11-30T00:00:00"/>
    <s v="TT"/>
    <d v="1899-12-30T15:10:00"/>
    <s v=" Bernardo Daniel"/>
    <m/>
    <s v="Tecnología del Automotor - CM2 -  Bernardo Daniel"/>
  </r>
  <r>
    <s v="1.º"/>
    <x v="8"/>
    <x v="8"/>
    <s v="Automotores"/>
    <s v="2do Llamado"/>
    <d v="2025-12-01T00:00:00"/>
    <s v="TT"/>
    <d v="1899-12-30T15:10:00"/>
    <s v=" Bernardo Daniel"/>
    <m/>
    <s v="Tecnología del Automotor - CM2 -  Bernardo Daniel"/>
  </r>
  <r>
    <s v="2.º"/>
    <x v="9"/>
    <x v="9"/>
    <s v="Automotores"/>
    <s v="1er Llamado"/>
    <d v="2025-11-24T00:00:00"/>
    <s v="TT"/>
    <d v="1899-12-30T15:10:00"/>
    <s v=" Bernardo Daniel"/>
    <m/>
    <s v="Termodinámica y Motores de Combustión Interna II - RUE2 -  Bernardo Daniel"/>
  </r>
  <r>
    <s v="2.º"/>
    <x v="9"/>
    <x v="9"/>
    <s v="Automotores"/>
    <s v="2do Llamado"/>
    <d v="2025-12-01T00:00:00"/>
    <s v="TT"/>
    <d v="1899-12-30T15:10:00"/>
    <s v=" Bernardo Daniel"/>
    <m/>
    <s v="Termodinámica y Motores de Combustión Interna II - RUE2 -  Bernardo Daniel"/>
  </r>
  <r>
    <s v="2.º"/>
    <x v="9"/>
    <x v="9"/>
    <s v="Automotores"/>
    <s v="3er Llamado"/>
    <d v="2025-12-11T00:00:00"/>
    <s v="TM"/>
    <d v="1899-12-30T07:10:00"/>
    <s v=" Bernardo Daniel"/>
    <m/>
    <s v="Termodinámica y Motores de Combustión Interna II - RUE2 -  Bernardo Daniel"/>
  </r>
  <r>
    <s v="1.º"/>
    <x v="6"/>
    <x v="8"/>
    <s v="Automotores"/>
    <s v="1er Llamado"/>
    <d v="2025-11-19T00:00:00"/>
    <s v="TM"/>
    <d v="1899-12-30T07:10:00"/>
    <m/>
    <m/>
    <s v="Metrología y Representación Gráfica - CM2 - "/>
  </r>
  <r>
    <s v="1.º"/>
    <x v="6"/>
    <x v="8"/>
    <s v="Automotores"/>
    <s v="2do Llamado"/>
    <d v="2025-12-03T00:00:00"/>
    <s v="TM"/>
    <d v="1899-12-30T09:30:00"/>
    <m/>
    <m/>
    <s v="Metrología y Representación Gráfica - CM2 - "/>
  </r>
  <r>
    <s v="1.º"/>
    <x v="6"/>
    <x v="7"/>
    <s v="Automotores"/>
    <s v="1er Llamado"/>
    <d v="2025-11-30T00:00:00"/>
    <s v="TM"/>
    <d v="1899-12-30T09:30:00"/>
    <m/>
    <m/>
    <s v="Metrología y Representación Gráfica - RUE1 - "/>
  </r>
  <r>
    <s v="1.º"/>
    <x v="6"/>
    <x v="6"/>
    <s v="Automotores"/>
    <s v="1er Llamado"/>
    <d v="2025-11-19T00:00:00"/>
    <s v="TM"/>
    <d v="1899-12-30T07:10:00"/>
    <m/>
    <m/>
    <s v="Metrología y Representación Gráfica - ELEC1 - "/>
  </r>
  <r>
    <s v="1.º"/>
    <x v="6"/>
    <x v="6"/>
    <s v="Automotores"/>
    <s v="2do Llamado"/>
    <d v="2025-12-10T00:00:00"/>
    <s v="TM"/>
    <d v="1899-12-30T07:10:00"/>
    <m/>
    <m/>
    <s v="Metrología y Representación Gráfica - ELEC1 - "/>
  </r>
  <r>
    <s v="2.º"/>
    <x v="10"/>
    <x v="9"/>
    <s v="Automotores"/>
    <s v="1er Llamado"/>
    <d v="2025-11-30T00:00:00"/>
    <s v="TM"/>
    <d v="1899-12-30T07:10:00"/>
    <m/>
    <m/>
    <s v="Representación Gráfica Asistida por Computadora - RUE2 - "/>
  </r>
  <r>
    <s v="2.º"/>
    <x v="10"/>
    <x v="9"/>
    <s v="Automotores"/>
    <s v="2do Llamado"/>
    <d v="2025-12-03T00:00:00"/>
    <s v="TM"/>
    <d v="1899-12-30T07:10:00"/>
    <m/>
    <m/>
    <s v="Representación Gráfica Asistida por Computadora - RUE2 - "/>
  </r>
  <r>
    <s v="2.º"/>
    <x v="10"/>
    <x v="9"/>
    <s v="Automotores"/>
    <s v="3er Llamado"/>
    <d v="2025-12-10T00:00:00"/>
    <s v="TM"/>
    <d v="1899-12-30T09:30:00"/>
    <m/>
    <m/>
    <s v="Representación Gráfica Asistida por Computadora - RUE2 - "/>
  </r>
  <r>
    <s v="1.º"/>
    <x v="0"/>
    <x v="2"/>
    <s v="Automotores"/>
    <s v="1er Llamado"/>
    <d v="2025-11-30T00:00:00"/>
    <s v="TM"/>
    <d v="1899-12-30T09:30:00"/>
    <m/>
    <m/>
    <s v="Inglés I - CM3 - "/>
  </r>
  <r>
    <s v="1.º"/>
    <x v="0"/>
    <x v="2"/>
    <s v="Automotores"/>
    <s v="2do Llamado"/>
    <d v="2025-12-03T00:00:00"/>
    <s v="TM"/>
    <d v="1899-12-30T09:30:00"/>
    <m/>
    <m/>
    <s v="Inglés I - CM3 - "/>
  </r>
  <r>
    <s v="1.º"/>
    <x v="0"/>
    <x v="7"/>
    <s v="Automotores"/>
    <s v="1er Llamado"/>
    <d v="2025-11-26T00:00:00"/>
    <s v="TM"/>
    <d v="1899-12-30T08:50:00"/>
    <m/>
    <m/>
    <s v="Inglés I - RUE1 - "/>
  </r>
  <r>
    <s v="1.º"/>
    <x v="0"/>
    <x v="7"/>
    <s v="Automotores"/>
    <s v="2do Llamado"/>
    <d v="2025-12-02T00:00:00"/>
    <s v="TM"/>
    <d v="1899-12-30T09:30:00"/>
    <m/>
    <m/>
    <s v="Inglés I - RUE1 - "/>
  </r>
  <r>
    <s v="1.º"/>
    <x v="0"/>
    <x v="6"/>
    <s v="Automotores"/>
    <s v="1er Llamado"/>
    <d v="2025-11-26T00:00:00"/>
    <s v="TM"/>
    <d v="1899-12-30T08:50:00"/>
    <m/>
    <m/>
    <s v="Inglés I - ELEC1 - "/>
  </r>
  <r>
    <s v="1.º"/>
    <x v="0"/>
    <x v="6"/>
    <s v="Automotores"/>
    <s v="2do Llamado"/>
    <d v="2025-12-03T00:00:00"/>
    <s v="TM"/>
    <d v="1899-12-30T09:30:00"/>
    <m/>
    <m/>
    <s v="Inglés I - ELEC1 - "/>
  </r>
  <r>
    <s v="2.º"/>
    <x v="1"/>
    <x v="3"/>
    <s v="Automotores"/>
    <s v="1er Llamado"/>
    <d v="2025-11-25T00:00:00"/>
    <s v="TM"/>
    <d v="1899-12-30T09:30:00"/>
    <m/>
    <m/>
    <s v="Inglés II - CM5 - "/>
  </r>
  <r>
    <s v="2.º"/>
    <x v="1"/>
    <x v="3"/>
    <s v="Automotores"/>
    <s v="2do Llamado"/>
    <d v="2025-12-02T00:00:00"/>
    <s v="TM"/>
    <d v="1899-12-30T09:30:00"/>
    <m/>
    <m/>
    <s v="Inglés II - CM5 - "/>
  </r>
  <r>
    <s v="2.º"/>
    <x v="1"/>
    <x v="3"/>
    <s v="Automotores"/>
    <s v="3er Llamado"/>
    <d v="2025-12-09T00:00:00"/>
    <s v="TM"/>
    <d v="1899-12-30T09:30:00"/>
    <m/>
    <m/>
    <s v="Inglés II - CM5 - "/>
  </r>
  <r>
    <s v="1.º"/>
    <x v="11"/>
    <x v="7"/>
    <s v="Automotores"/>
    <s v="1er Llamado"/>
    <d v="2025-11-24T00:00:00"/>
    <s v="TT"/>
    <d v="1899-12-30T15:10:00"/>
    <s v=" Lucio Andrés "/>
    <m/>
    <s v="Técnica y Metodología Operativa en Vehículos a Rueda - RUE1 -  Lucio Andrés "/>
  </r>
  <r>
    <s v="1.º"/>
    <x v="11"/>
    <x v="7"/>
    <s v="Automotores"/>
    <s v="2do Llamado"/>
    <d v="2025-12-09T00:00:00"/>
    <s v="TM"/>
    <d v="1899-12-30T09:30:00"/>
    <s v=" Lucio Andrés "/>
    <m/>
    <s v="Técnica y Metodología Operativa en Vehículos a Rueda - RUE1 -  Lucio Andrés "/>
  </r>
  <r>
    <s v="1.º"/>
    <x v="8"/>
    <x v="2"/>
    <s v="Automotores"/>
    <s v="1er Llamado"/>
    <d v="2025-11-25T00:00:00"/>
    <s v="TM"/>
    <d v="1899-12-30T07:10:00"/>
    <s v=" Lucio Andrés "/>
    <m/>
    <s v="Tecnología del Automotor - CM3 -  Lucio Andrés "/>
  </r>
  <r>
    <s v="1.º"/>
    <x v="8"/>
    <x v="2"/>
    <s v="Automotores"/>
    <s v="2do Llamado"/>
    <d v="2025-12-09T00:00:00"/>
    <s v="TM"/>
    <d v="1899-12-30T07:10:00"/>
    <s v=" Lucio Andrés "/>
    <m/>
    <s v="Tecnología del Automotor - CM3 -  Lucio Andrés "/>
  </r>
  <r>
    <s v="1.º"/>
    <x v="8"/>
    <x v="4"/>
    <s v="Automotores"/>
    <s v="1er Llamado"/>
    <d v="2025-11-30T00:00:00"/>
    <s v="TM"/>
    <d v="1899-12-30T09:30:00"/>
    <s v=" Lucio Andrés "/>
    <m/>
    <s v="Tecnología del Automotor - ING1 -  Lucio Andrés "/>
  </r>
  <r>
    <s v="1.º"/>
    <x v="8"/>
    <x v="4"/>
    <s v="Automotores"/>
    <s v="2do Llamado"/>
    <d v="2025-12-09T00:00:00"/>
    <s v="TM"/>
    <d v="1899-12-30T07:10:00"/>
    <s v=" Lucio Andrés "/>
    <m/>
    <s v="Tecnología del Automotor - ING1 -  Lucio Andrés "/>
  </r>
  <r>
    <s v="1.º"/>
    <x v="8"/>
    <x v="5"/>
    <s v="Automotores"/>
    <s v="1er Llamado"/>
    <d v="2025-11-30T00:00:00"/>
    <s v="TM"/>
    <d v="1899-12-30T09:30:00"/>
    <s v=" Lucio Andrés "/>
    <m/>
    <s v="Tecnología del Automotor - ORU1 -  Lucio Andrés "/>
  </r>
  <r>
    <s v="1.º"/>
    <x v="8"/>
    <x v="5"/>
    <s v="Automotores"/>
    <s v="2do Llamado"/>
    <d v="2025-12-09T00:00:00"/>
    <s v="TM"/>
    <d v="1899-12-30T07:10:00"/>
    <s v=" Lucio Andrés "/>
    <m/>
    <s v="Tecnología del Automotor - ORU1 -  Lucio Andrés "/>
  </r>
  <r>
    <s v="1.º"/>
    <x v="8"/>
    <x v="6"/>
    <s v="Automotores"/>
    <s v="1er Llamado"/>
    <d v="2025-11-25T00:00:00"/>
    <s v="TT"/>
    <d v="1899-12-30T17:30:00"/>
    <s v=" Lucio Andrés "/>
    <m/>
    <s v="Tecnología del Automotor - ELEC1 -  Lucio Andrés "/>
  </r>
  <r>
    <s v="1.º"/>
    <x v="8"/>
    <x v="6"/>
    <s v="Automotores"/>
    <s v="2do Llamado"/>
    <d v="2025-12-09T00:00:00"/>
    <s v="TT"/>
    <d v="1899-12-30T17:30:00"/>
    <s v=" Lucio Andrés "/>
    <m/>
    <s v="Tecnología del Automotor - ELEC1 -  Lucio Andrés "/>
  </r>
  <r>
    <s v="1.º"/>
    <x v="12"/>
    <x v="2"/>
    <s v="Automotores"/>
    <s v="1er Llamado"/>
    <d v="2025-11-25T00:00:00"/>
    <s v="TT"/>
    <d v="1899-12-30T15:10:00"/>
    <s v=" Lucio Andrés "/>
    <m/>
    <s v="Termodinámica y Motores de Combustión Interna I - CM3 -  Lucio Andrés "/>
  </r>
  <r>
    <s v="1.º"/>
    <x v="12"/>
    <x v="2"/>
    <s v="Automotores"/>
    <s v="2do Llamado"/>
    <d v="2025-12-09T00:00:00"/>
    <s v="TT"/>
    <d v="1899-12-30T15:10:00"/>
    <s v=" Lucio Andrés "/>
    <m/>
    <s v="Termodinámica y Motores de Combustión Interna I - CM3 -  Lucio Andrés "/>
  </r>
  <r>
    <s v="2.º"/>
    <x v="9"/>
    <x v="3"/>
    <s v="Automotores"/>
    <s v="1er Llamado"/>
    <d v="2025-11-30T00:00:00"/>
    <s v="TM"/>
    <d v="1899-12-30T07:10:00"/>
    <s v=" Lucio Andrés "/>
    <m/>
    <s v="Termodinámica y Motores de Combustión Interna II - CM5 -  Lucio Andrés "/>
  </r>
  <r>
    <s v="2.º"/>
    <x v="9"/>
    <x v="3"/>
    <s v="Automotores"/>
    <s v="2do Llamado"/>
    <d v="2025-12-01T00:00:00"/>
    <s v="TM"/>
    <d v="1899-12-30T09:30:00"/>
    <s v=" Lucio Andrés "/>
    <m/>
    <s v="Termodinámica y Motores de Combustión Interna II - CM5 -  Lucio Andrés "/>
  </r>
  <r>
    <s v="2.º"/>
    <x v="9"/>
    <x v="3"/>
    <s v="Automotores"/>
    <s v="3er Llamado"/>
    <d v="2025-12-11T00:00:00"/>
    <s v="TM"/>
    <d v="1899-12-30T07:10:00"/>
    <s v=" Lucio Andrés "/>
    <m/>
    <s v="Termodinámica y Motores de Combustión Interna II - CM5 -  Lucio Andrés "/>
  </r>
  <r>
    <s v="1.º"/>
    <x v="13"/>
    <x v="2"/>
    <s v="Automotores"/>
    <s v="1er Llamado"/>
    <d v="2025-11-24T00:00:00"/>
    <s v="TT"/>
    <d v="1899-12-30T15:10:00"/>
    <s v=" Rene Julio"/>
    <m/>
    <s v="Régimen Funcional de Arsenales - CM3 -  Rene Julio"/>
  </r>
  <r>
    <s v="1.º"/>
    <x v="13"/>
    <x v="2"/>
    <s v="Automotores"/>
    <s v="2do Llamado"/>
    <d v="2025-12-01T00:00:00"/>
    <s v="TT"/>
    <d v="1899-12-30T15:10:00"/>
    <s v=" Rene Julio"/>
    <m/>
    <s v="Régimen Funcional de Arsenales - CM3 -  Rene Julio"/>
  </r>
  <r>
    <s v="1.º"/>
    <x v="13"/>
    <x v="7"/>
    <s v="Automotores"/>
    <s v="1er Llamado"/>
    <d v="2025-11-24T00:00:00"/>
    <s v="TM"/>
    <d v="1899-12-30T07:10:00"/>
    <s v=" Rene Julio"/>
    <m/>
    <s v="Régimen Funcional de Arsenales - RUE1 -  Rene Julio"/>
  </r>
  <r>
    <s v="1.º"/>
    <x v="13"/>
    <x v="7"/>
    <s v="Automotores"/>
    <s v="2do Llamado"/>
    <d v="2025-12-01T00:00:00"/>
    <s v="TM"/>
    <d v="1899-12-30T07:10:00"/>
    <s v=" Rene Julio"/>
    <m/>
    <s v="Régimen Funcional de Arsenales - RUE1 -  Rene Julio"/>
  </r>
  <r>
    <s v="1.º"/>
    <x v="5"/>
    <x v="7"/>
    <s v="Automotores"/>
    <s v="1er Llamado"/>
    <d v="2025-11-24T00:00:00"/>
    <s v="TM"/>
    <d v="1899-12-30T09:30:00"/>
    <s v=" Rene Julio"/>
    <m/>
    <s v="Seguridad e Higiene en el Trabajo - RUE1 -  Rene Julio"/>
  </r>
  <r>
    <s v="1.º"/>
    <x v="5"/>
    <x v="7"/>
    <s v="Automotores"/>
    <s v="2do Llamado"/>
    <d v="2025-12-01T00:00:00"/>
    <s v="TM"/>
    <d v="1899-12-30T09:30:00"/>
    <s v=" Rene Julio"/>
    <m/>
    <s v="Seguridad e Higiene en el Trabajo - RUE1 -  Rene Julio"/>
  </r>
  <r>
    <s v="2.º"/>
    <x v="14"/>
    <x v="10"/>
    <s v="Automotores"/>
    <s v="1er Llamado"/>
    <d v="2025-11-30T00:00:00"/>
    <s v="TM"/>
    <d v="1899-12-30T09:30:00"/>
    <m/>
    <m/>
    <s v="Sistemas Eléctricos y Electrónicos en Equipos y Máquinas de Ingenieros - ING2 - "/>
  </r>
  <r>
    <s v="2.º"/>
    <x v="14"/>
    <x v="10"/>
    <s v="Automotores"/>
    <s v="2do Llamado"/>
    <d v="2025-12-03T00:00:00"/>
    <s v="TM"/>
    <d v="1899-12-30T07:10:00"/>
    <m/>
    <m/>
    <s v="Sistemas Eléctricos y Electrónicos en Equipos y Máquinas de Ingenieros - ING2 - "/>
  </r>
  <r>
    <s v="2.º"/>
    <x v="14"/>
    <x v="10"/>
    <s v="Automotores"/>
    <s v="3er Llamado"/>
    <d v="2025-12-10T00:00:00"/>
    <s v="TM"/>
    <d v="1899-12-30T07:10:00"/>
    <m/>
    <m/>
    <s v="Sistemas Eléctricos y Electrónicos en Equipos y Máquinas de Ingenieros - ING2 - "/>
  </r>
  <r>
    <s v="2.º"/>
    <x v="15"/>
    <x v="1"/>
    <s v="Automotores"/>
    <s v="1er Llamado"/>
    <d v="2025-11-26T00:00:00"/>
    <s v="TM"/>
    <d v="1899-12-30T07:10:00"/>
    <m/>
    <m/>
    <s v="Tecnologías de Mantenimiento Preventivo en Vehículos - CM4 - "/>
  </r>
  <r>
    <s v="2.º"/>
    <x v="15"/>
    <x v="1"/>
    <s v="Automotores"/>
    <s v="2do Llamado"/>
    <d v="2025-12-03T00:00:00"/>
    <s v="TM"/>
    <d v="1899-12-30T07:10:00"/>
    <m/>
    <m/>
    <s v="Tecnologías de Mantenimiento Preventivo en Vehículos - CM4 - "/>
  </r>
  <r>
    <s v="2.º"/>
    <x v="15"/>
    <x v="1"/>
    <s v="Automotores"/>
    <s v="3er Llamado"/>
    <d v="2025-12-10T00:00:00"/>
    <s v="TM"/>
    <d v="1899-12-30T07:10:00"/>
    <m/>
    <m/>
    <s v="Tecnologías de Mantenimiento Preventivo en Vehículos - CM4 - "/>
  </r>
  <r>
    <s v="1.º"/>
    <x v="2"/>
    <x v="0"/>
    <s v="Automotores"/>
    <s v="1er Llamado"/>
    <d v="2025-11-24T00:00:00"/>
    <s v="TM"/>
    <d v="1899-12-30T07:10:00"/>
    <m/>
    <m/>
    <s v="Procesos Mecánicos - CM1 - "/>
  </r>
  <r>
    <s v="1.º"/>
    <x v="2"/>
    <x v="0"/>
    <s v="Automotores"/>
    <s v="2do Llamado"/>
    <d v="2025-12-02T00:00:00"/>
    <s v="TM"/>
    <d v="1899-12-30T07:10:00"/>
    <m/>
    <m/>
    <s v="Procesos Mecánicos - CM1 - "/>
  </r>
  <r>
    <s v="1.º"/>
    <x v="2"/>
    <x v="4"/>
    <s v="Automotores"/>
    <s v="1er Llamado"/>
    <d v="2025-11-30T00:00:00"/>
    <s v="TM"/>
    <d v="1899-12-30T07:10:00"/>
    <m/>
    <m/>
    <s v="Procesos Mecánicos - ING1 - "/>
  </r>
  <r>
    <s v="1.º"/>
    <x v="2"/>
    <x v="4"/>
    <s v="Automotores"/>
    <s v="2do Llamado"/>
    <d v="2025-12-02T00:00:00"/>
    <s v="TM"/>
    <d v="1899-12-30T07:10:00"/>
    <m/>
    <m/>
    <s v="Procesos Mecánicos - ING1 - "/>
  </r>
  <r>
    <s v="1.º"/>
    <x v="2"/>
    <x v="5"/>
    <s v="Automotores"/>
    <s v="1er Llamado"/>
    <d v="2025-11-30T00:00:00"/>
    <s v="TM"/>
    <d v="1899-12-30T07:10:00"/>
    <m/>
    <m/>
    <s v="Procesos Mecánicos - ORU1 - "/>
  </r>
  <r>
    <s v="1.º"/>
    <x v="2"/>
    <x v="5"/>
    <s v="Automotores"/>
    <s v="2do Llamado"/>
    <d v="2025-12-02T00:00:00"/>
    <s v="TM"/>
    <d v="1899-12-30T07:10:00"/>
    <m/>
    <m/>
    <s v="Procesos Mecánicos - ORU1 - "/>
  </r>
  <r>
    <s v="1.º"/>
    <x v="16"/>
    <x v="8"/>
    <s v="Automotores"/>
    <s v="1er Llamado"/>
    <d v="2025-11-25T00:00:00"/>
    <s v="TM"/>
    <d v="1899-12-30T07:10:00"/>
    <m/>
    <m/>
    <s v="Técnica y Metodología Operativa en Vehículos de Ejército - CM2 - "/>
  </r>
  <r>
    <s v="1.º"/>
    <x v="16"/>
    <x v="8"/>
    <s v="Automotores"/>
    <s v="2do Llamado"/>
    <d v="2025-12-01T00:00:00"/>
    <s v="TM"/>
    <d v="1899-12-30T07:10:00"/>
    <m/>
    <m/>
    <s v="Técnica y Metodología Operativa en Vehículos de Ejército - CM2 - "/>
  </r>
  <r>
    <s v="1.º"/>
    <x v="6"/>
    <x v="0"/>
    <s v="Automotores"/>
    <s v="1er Llamado"/>
    <d v="2025-11-24T00:00:00"/>
    <s v="TT"/>
    <d v="1899-12-30T15:10:00"/>
    <s v=" Alejandro José Leónides "/>
    <m/>
    <s v="Metrología y Representación Gráfica - CM1 -  Alejandro José Leónides "/>
  </r>
  <r>
    <s v="1.º"/>
    <x v="6"/>
    <x v="0"/>
    <s v="Automotores"/>
    <s v="2do Llamado"/>
    <d v="2025-12-01T00:00:00"/>
    <s v="TT"/>
    <d v="1899-12-30T15:10:00"/>
    <s v=" Alejandro José Leónides "/>
    <m/>
    <s v="Metrología y Representación Gráfica - CM1 -  Alejandro José Leónides "/>
  </r>
  <r>
    <s v="1.º"/>
    <x v="6"/>
    <x v="7"/>
    <s v="Automotores"/>
    <s v="2do Llamado"/>
    <d v="2025-12-03T00:00:00"/>
    <s v="TM"/>
    <d v="1899-12-30T09:30:00"/>
    <s v=" Alejandro José Leónides "/>
    <m/>
    <s v="Metrología y Representación Gráfica - RUE1 -  Alejandro José Leónides "/>
  </r>
  <r>
    <s v="1.º"/>
    <x v="7"/>
    <x v="0"/>
    <s v="Automotores"/>
    <s v="1er Llamado"/>
    <d v="2025-11-30T00:00:00"/>
    <s v="TT"/>
    <d v="1899-12-30T15:10:00"/>
    <s v=" Alejandro José Leónides "/>
    <m/>
    <s v="Sistemas Hidráulicos y Neumáticos - CM1 -  Alejandro José Leónides "/>
  </r>
  <r>
    <s v="1.º"/>
    <x v="7"/>
    <x v="8"/>
    <s v="Automotores"/>
    <s v="1er Llamado"/>
    <d v="2025-12-02T00:00:00"/>
    <s v="TM"/>
    <d v="1899-12-30T07:10:00"/>
    <s v=" Alejandro José Leónides "/>
    <m/>
    <s v="Sistemas Hidráulicos y Neumáticos - CM2 -  Alejandro José Leónides "/>
  </r>
  <r>
    <s v="1.º"/>
    <x v="7"/>
    <x v="2"/>
    <s v="Automotores"/>
    <s v="1er Llamado"/>
    <d v="2025-11-25T00:00:00"/>
    <s v="TM"/>
    <d v="1899-12-30T09:30:00"/>
    <s v=" Alejandro José Leónides "/>
    <m/>
    <s v="Sistemas Hidráulicos y Neumáticos - CM3 -  Alejandro José Leónides "/>
  </r>
  <r>
    <s v="1.º"/>
    <x v="7"/>
    <x v="0"/>
    <s v="Automotores"/>
    <s v="2do Llamado"/>
    <d v="2025-12-01T00:00:00"/>
    <s v="TM"/>
    <d v="1899-12-30T07:10:00"/>
    <s v=" Alejandro José Leónides "/>
    <m/>
    <s v="Sistemas Hidráulicos y Neumáticos - CM1 -  Alejandro José Leónides "/>
  </r>
  <r>
    <s v="1.º"/>
    <x v="7"/>
    <x v="8"/>
    <s v="Automotores"/>
    <s v="2do Llamado"/>
    <d v="2025-12-09T00:00:00"/>
    <s v="TM"/>
    <d v="1899-12-30T07:10:00"/>
    <s v=" Alejandro José Leónides "/>
    <m/>
    <s v="Sistemas Hidráulicos y Neumáticos - CM2 -  Alejandro José Leónides "/>
  </r>
  <r>
    <s v="1.º"/>
    <x v="7"/>
    <x v="2"/>
    <s v="Automotores"/>
    <s v="2do Llamado"/>
    <d v="2025-12-02T00:00:00"/>
    <s v="TM"/>
    <d v="1899-12-30T07:10:00"/>
    <s v=" Alejandro José Leónides "/>
    <m/>
    <s v="Sistemas Hidráulicos y Neumáticos - CM3 -  Alejandro José Leónides "/>
  </r>
  <r>
    <s v="1.º"/>
    <x v="7"/>
    <x v="7"/>
    <s v="Automotores"/>
    <s v="1er Llamado"/>
    <d v="2025-11-25T00:00:00"/>
    <s v="TT"/>
    <d v="1899-12-30T15:10:00"/>
    <s v=" Alejandro José Leónides "/>
    <m/>
    <s v="Sistemas Hidráulicos y Neumáticos - RUE1 -  Alejandro José Leónides "/>
  </r>
  <r>
    <s v="1.º"/>
    <x v="7"/>
    <x v="7"/>
    <s v="Automotores"/>
    <s v="2do Llamado"/>
    <d v="2025-12-09T00:00:00"/>
    <s v="TT"/>
    <d v="1899-12-30T15:10:00"/>
    <s v=" Alejandro José Leónides "/>
    <m/>
    <s v="Sistemas Hidráulicos y Neumáticos - RUE1 -  Alejandro José Leónides "/>
  </r>
  <r>
    <s v="1.º"/>
    <x v="7"/>
    <x v="6"/>
    <s v="Automotores"/>
    <s v="1er Llamado"/>
    <d v="2025-11-24T00:00:00"/>
    <s v="TM"/>
    <d v="1899-12-30T07:10:00"/>
    <s v=" Alejandro José Leónides "/>
    <m/>
    <s v="Sistemas Hidráulicos y Neumáticos - ELEC1 -  Alejandro José Leónides "/>
  </r>
  <r>
    <s v="1.º"/>
    <x v="7"/>
    <x v="6"/>
    <s v="Automotores"/>
    <s v="2do Llamado"/>
    <d v="2025-12-01T00:00:00"/>
    <s v="TM"/>
    <d v="1899-12-30T07:10:00"/>
    <s v=" Alejandro José Leónides "/>
    <m/>
    <s v="Sistemas Hidráulicos y Neumáticos - ELEC1 -  Alejandro José Leónides "/>
  </r>
  <r>
    <s v="1.º"/>
    <x v="8"/>
    <x v="7"/>
    <s v="Automotores"/>
    <s v="1er Llamado"/>
    <d v="2025-11-25T00:00:00"/>
    <s v="TM"/>
    <d v="1899-12-30T07:10:00"/>
    <s v=" Alejandro José Leónides "/>
    <m/>
    <s v="Tecnología del Automotor - RUE1 -  Alejandro José Leónides "/>
  </r>
  <r>
    <s v="1.º"/>
    <x v="8"/>
    <x v="7"/>
    <s v="Automotores"/>
    <s v="2do Llamado"/>
    <d v="2025-12-02T00:00:00"/>
    <s v="TM"/>
    <d v="1899-12-30T07:10:00"/>
    <s v=" Alejandro José Leónides "/>
    <m/>
    <s v="Tecnología del Automotor - RUE1 -  Alejandro José Leónides "/>
  </r>
  <r>
    <s v="1.º"/>
    <x v="12"/>
    <x v="0"/>
    <s v="Automotores"/>
    <s v="1er Llamado"/>
    <d v="2025-11-24T00:00:00"/>
    <s v="TM"/>
    <d v="1899-12-30T09:30:00"/>
    <s v=" Alejandro José Leónides "/>
    <m/>
    <s v="Termodinámica y Motores de Combustión Interna I - CM1 -  Alejandro José Leónides "/>
  </r>
  <r>
    <s v="1.º"/>
    <x v="12"/>
    <x v="0"/>
    <s v="Automotores"/>
    <s v="2do Llamado"/>
    <d v="2025-12-01T00:00:00"/>
    <s v="TM"/>
    <d v="1899-12-30T09:30:00"/>
    <s v=" Alejandro José Leónides "/>
    <m/>
    <s v="Termodinámica y Motores de Combustión Interna I - CM1 -  Alejandro José Leónides "/>
  </r>
  <r>
    <s v="1.º"/>
    <x v="0"/>
    <x v="4"/>
    <s v="Automotores"/>
    <s v="1er Llamado"/>
    <d v="2025-11-26T00:00:00"/>
    <s v="TM"/>
    <d v="1899-12-30T09:30:00"/>
    <s v=" Marina Paula "/>
    <m/>
    <s v="Inglés I - ING1 -  Marina Paula "/>
  </r>
  <r>
    <s v="1.º"/>
    <x v="0"/>
    <x v="4"/>
    <s v="Automotores"/>
    <s v="2do Llamado"/>
    <d v="2025-12-03T00:00:00"/>
    <s v="TM"/>
    <d v="1899-12-30T09:30:00"/>
    <s v=" Marina Paula "/>
    <m/>
    <s v="Inglés I - ING1 -  Marina Paula "/>
  </r>
  <r>
    <s v="1.º"/>
    <x v="0"/>
    <x v="5"/>
    <s v="Automotores"/>
    <s v="1er Llamado"/>
    <d v="2025-11-26T00:00:00"/>
    <s v="TM"/>
    <d v="1899-12-30T09:30:00"/>
    <s v=" Marina Paula "/>
    <m/>
    <s v="Inglés I - ORU1 -  Marina Paula "/>
  </r>
  <r>
    <s v="1.º"/>
    <x v="0"/>
    <x v="5"/>
    <s v="Automotores"/>
    <s v="2do Llamado"/>
    <d v="2025-12-03T00:00:00"/>
    <s v="TM"/>
    <d v="1899-12-30T09:30:00"/>
    <s v=" Marina Paula "/>
    <m/>
    <s v="Inglés I - ORU1 -  Marina Paula "/>
  </r>
  <r>
    <s v="2.º"/>
    <x v="1"/>
    <x v="10"/>
    <s v="Automotores"/>
    <s v="1er Llamado"/>
    <d v="2025-11-24T00:00:00"/>
    <s v="TM"/>
    <d v="1899-12-30T07:10:00"/>
    <s v=" Marina Paula "/>
    <m/>
    <s v="Inglés II - ING2 -  Marina Paula "/>
  </r>
  <r>
    <s v="2.º"/>
    <x v="1"/>
    <x v="10"/>
    <s v="Automotores"/>
    <s v="2do Llamado"/>
    <d v="2025-12-01T00:00:00"/>
    <s v="TM"/>
    <d v="1899-12-30T07:10:00"/>
    <s v=" Marina Paula "/>
    <m/>
    <s v="Inglés II - ING2 -  Marina Paula "/>
  </r>
  <r>
    <s v="2.º"/>
    <x v="1"/>
    <x v="10"/>
    <s v="Automotores"/>
    <s v="3er Llamado"/>
    <d v="2025-12-10T00:00:00"/>
    <s v="TM"/>
    <d v="1899-12-30T09:30:00"/>
    <s v=" Marina Paula "/>
    <m/>
    <s v="Inglés II - ING2 -  Marina Paula "/>
  </r>
  <r>
    <s v="2.º"/>
    <x v="1"/>
    <x v="11"/>
    <s v="Automotores"/>
    <s v="1er Llamado"/>
    <d v="2025-11-24T00:00:00"/>
    <s v="TM"/>
    <d v="1899-12-30T07:10:00"/>
    <s v=" Marina Paula "/>
    <m/>
    <s v="Inglés II - ORU2 -  Marina Paula "/>
  </r>
  <r>
    <s v="2.º"/>
    <x v="1"/>
    <x v="11"/>
    <s v="Automotores"/>
    <s v="2do Llamado"/>
    <d v="2025-12-01T00:00:00"/>
    <s v="TM"/>
    <d v="1899-12-30T07:10:00"/>
    <s v=" Marina Paula "/>
    <m/>
    <s v="Inglés II - ORU2 -  Marina Paula "/>
  </r>
  <r>
    <s v="2.º"/>
    <x v="1"/>
    <x v="11"/>
    <s v="Automotores"/>
    <s v="3er Llamado"/>
    <d v="2025-12-10T00:00:00"/>
    <s v="TM"/>
    <d v="1899-12-30T09:30:00"/>
    <s v=" Marina Paula "/>
    <m/>
    <s v="Inglés II - ORU2 -  Marina Paula "/>
  </r>
  <r>
    <s v="2.º"/>
    <x v="1"/>
    <x v="12"/>
    <s v="Automotores"/>
    <s v="1er Llamado"/>
    <d v="2025-11-24T00:00:00"/>
    <s v="TM"/>
    <d v="1899-12-30T07:10:00"/>
    <s v=" Marina Paula "/>
    <m/>
    <s v="Inglés II - ELEC2 -  Marina Paula "/>
  </r>
  <r>
    <s v="2.º"/>
    <x v="1"/>
    <x v="12"/>
    <s v="Automotores"/>
    <s v="2do Llamado"/>
    <d v="2025-12-01T00:00:00"/>
    <s v="TM"/>
    <d v="1899-12-30T07:10:00"/>
    <s v=" Marina Paula "/>
    <m/>
    <s v="Inglés II - ELEC2 -  Marina Paula "/>
  </r>
  <r>
    <s v="2.º"/>
    <x v="1"/>
    <x v="12"/>
    <s v="Automotores"/>
    <s v="3er Llamado"/>
    <d v="2025-12-10T00:00:00"/>
    <s v="TM"/>
    <d v="1899-12-30T09:30:00"/>
    <s v=" Marina Paula "/>
    <m/>
    <s v="Inglés II - ELEC2 -  Marina Paula "/>
  </r>
  <r>
    <s v="1.º"/>
    <x v="5"/>
    <x v="8"/>
    <s v="Automotores"/>
    <s v="1er Llamado"/>
    <d v="2025-11-26T00:00:00"/>
    <s v="TM"/>
    <d v="1899-12-30T07:10:00"/>
    <s v=" Noelia Cecilia "/>
    <m/>
    <s v="Seguridad e Higiene en el Trabajo - CM2 -  Noelia Cecilia "/>
  </r>
  <r>
    <s v="1.º"/>
    <x v="5"/>
    <x v="8"/>
    <s v="Automotores"/>
    <s v="2do Llamado"/>
    <d v="2025-12-10T00:00:00"/>
    <s v="TM"/>
    <d v="1899-12-30T07:10:00"/>
    <s v=" Noelia Cecilia "/>
    <m/>
    <s v="Seguridad e Higiene en el Trabajo - CM2 -  Noelia Cecilia "/>
  </r>
  <r>
    <s v="1.º"/>
    <x v="13"/>
    <x v="0"/>
    <s v="Automotores"/>
    <s v="1er Llamado"/>
    <d v="2025-11-26T00:00:00"/>
    <s v="TM"/>
    <d v="1899-12-30T09:30:00"/>
    <s v=" José Oscar"/>
    <m/>
    <s v="Régimen Funcional de Arsenales - CM1 -  José Oscar"/>
  </r>
  <r>
    <s v="1.º"/>
    <x v="13"/>
    <x v="0"/>
    <s v="Automotores"/>
    <s v="2do Llamado"/>
    <d v="2025-12-09T00:00:00"/>
    <s v="TM"/>
    <d v="1899-12-30T07:10:00"/>
    <s v=" José Oscar"/>
    <m/>
    <s v="Régimen Funcional de Arsenales - CM1 -  José Oscar"/>
  </r>
  <r>
    <s v="1.º"/>
    <x v="13"/>
    <x v="6"/>
    <s v="Automotores"/>
    <s v="1er Llamado"/>
    <d v="2025-11-25T00:00:00"/>
    <s v="TM"/>
    <d v="1899-12-30T07:10:00"/>
    <s v=" José Oscar"/>
    <m/>
    <s v="Régimen Funcional de Arsenales - ELEC1 -  José Oscar"/>
  </r>
  <r>
    <s v="1.º"/>
    <x v="13"/>
    <x v="6"/>
    <s v="Automotores"/>
    <s v="2do Llamado"/>
    <d v="2025-12-09T00:00:00"/>
    <s v="TM"/>
    <d v="1899-12-30T07:10:00"/>
    <s v=" José Oscar"/>
    <m/>
    <s v="Régimen Funcional de Arsenales - ELEC1 -  José Oscar"/>
  </r>
  <r>
    <s v="2.º"/>
    <x v="17"/>
    <x v="12"/>
    <s v="Automotores"/>
    <s v="1er Llamado"/>
    <d v="2025-11-19T00:00:00"/>
    <s v="TM"/>
    <d v="1899-12-30T07:10:00"/>
    <s v=" José Oscar"/>
    <m/>
    <s v="Técnicas y Metodologías de Mantenimiento en los Sistemas Eléctricos y Electrónicos de Automotores - ELEC2 -  José Oscar"/>
  </r>
  <r>
    <s v="2.º"/>
    <x v="17"/>
    <x v="12"/>
    <s v="Automotores"/>
    <s v="2do Llamado"/>
    <d v="2025-12-01T00:00:00"/>
    <s v="TT"/>
    <d v="1899-12-30T15:10:00"/>
    <s v=" José Oscar"/>
    <m/>
    <s v="Técnicas y Metodologías de Mantenimiento en los Sistemas Eléctricos y Electrónicos de Automotores - ELEC2 -  José Oscar"/>
  </r>
  <r>
    <s v="2.º"/>
    <x v="17"/>
    <x v="12"/>
    <s v="Automotores"/>
    <s v="3er Llamado"/>
    <d v="2025-12-10T00:00:00"/>
    <s v="TM"/>
    <d v="1899-12-30T07:10:00"/>
    <s v=" José Oscar"/>
    <m/>
    <s v="Técnicas y Metodologías de Mantenimiento en los Sistemas Eléctricos y Electrónicos de Automotores - ELEC2 -  José Oscar"/>
  </r>
  <r>
    <s v="2.º"/>
    <x v="18"/>
    <x v="12"/>
    <s v="Automotores"/>
    <s v="1er Llamado"/>
    <d v="2025-11-30T00:00:00"/>
    <s v="TT"/>
    <d v="1899-12-30T15:10:00"/>
    <s v=" José Oscar"/>
    <m/>
    <s v="Tecnologías de los Sistemas Eléctricos y Electrónicos del Automotor - ELEC2 -  José Oscar"/>
  </r>
  <r>
    <s v="2.º"/>
    <x v="18"/>
    <x v="12"/>
    <s v="Automotores"/>
    <s v="2do Llamado"/>
    <d v="2025-12-03T00:00:00"/>
    <s v="TM"/>
    <d v="1899-12-30T07:10:00"/>
    <s v=" José Oscar"/>
    <m/>
    <s v="Tecnologías de los Sistemas Eléctricos y Electrónicos del Automotor - ELEC2 -  José Oscar"/>
  </r>
  <r>
    <s v="2.º"/>
    <x v="18"/>
    <x v="12"/>
    <s v="Automotores"/>
    <s v="3er Llamado"/>
    <d v="2025-12-10T00:00:00"/>
    <s v="TT"/>
    <d v="1899-12-30T15:10:00"/>
    <s v=" José Oscar"/>
    <m/>
    <s v="Tecnologías de los Sistemas Eléctricos y Electrónicos del Automotor - ELEC2 -  José Oscar"/>
  </r>
  <r>
    <s v="2.º"/>
    <x v="19"/>
    <x v="11"/>
    <s v="Automotores"/>
    <s v="1er Llamado"/>
    <d v="2025-11-30T00:00:00"/>
    <s v="TT"/>
    <d v="1899-12-30T15:10:00"/>
    <m/>
    <m/>
    <s v="Sistemas Mecánicos en Vehículos Blindados - ORU2 - "/>
  </r>
  <r>
    <s v="2.º"/>
    <x v="19"/>
    <x v="11"/>
    <s v="Automotores"/>
    <s v="2do Llamado"/>
    <d v="2025-12-01T00:00:00"/>
    <s v="TT"/>
    <d v="1899-12-30T15:10:00"/>
    <m/>
    <m/>
    <s v="Sistemas Mecánicos en Vehículos Blindados - ORU2 - "/>
  </r>
  <r>
    <s v="2.º"/>
    <x v="19"/>
    <x v="11"/>
    <s v="Automotores"/>
    <s v="3er Llamado"/>
    <d v="2025-12-09T00:00:00"/>
    <s v="TM"/>
    <d v="1899-12-30T09:30:00"/>
    <m/>
    <m/>
    <s v="Sistemas Mecánicos en Vehículos Blindados - ORU2 - "/>
  </r>
  <r>
    <s v="2.º"/>
    <x v="20"/>
    <x v="11"/>
    <s v="Automotores"/>
    <s v="1er Llamado"/>
    <d v="2025-11-19T00:00:00"/>
    <s v="TM"/>
    <d v="1899-12-30T07:10:00"/>
    <m/>
    <m/>
    <s v="Técnicas y Metodologías de Mantenimiento en Vehículos Blindados - ORU2 - "/>
  </r>
  <r>
    <s v="2.º"/>
    <x v="20"/>
    <x v="11"/>
    <s v="Automotores"/>
    <s v="2do Llamado"/>
    <d v="2025-12-02T00:00:00"/>
    <s v="TM"/>
    <d v="1899-12-30T07:10:00"/>
    <m/>
    <m/>
    <s v="Técnicas y Metodologías de Mantenimiento en Vehículos Blindados - ORU2 - "/>
  </r>
  <r>
    <s v="2.º"/>
    <x v="20"/>
    <x v="11"/>
    <s v="Automotores"/>
    <s v="3er Llamado"/>
    <d v="2025-12-10T00:00:00"/>
    <s v="TM"/>
    <d v="1899-12-30T07:10:00"/>
    <m/>
    <m/>
    <s v="Técnicas y Metodologías de Mantenimiento en Vehículos Blindados - ORU2 - "/>
  </r>
  <r>
    <s v="2.º"/>
    <x v="21"/>
    <x v="11"/>
    <s v="Automotores"/>
    <s v="1er Llamado"/>
    <d v="2025-11-24T00:00:00"/>
    <s v="TT"/>
    <d v="1899-12-30T15:10:00"/>
    <m/>
    <m/>
    <s v="Tecnologías de Vehículos Blindados - ORU2 - "/>
  </r>
  <r>
    <s v="2.º"/>
    <x v="21"/>
    <x v="11"/>
    <s v="Automotores"/>
    <s v="2do Llamado"/>
    <d v="2025-12-01T00:00:00"/>
    <s v="TM"/>
    <d v="1899-12-30T09:30:00"/>
    <m/>
    <m/>
    <s v="Tecnologías de Vehículos Blindados - ORU2 - "/>
  </r>
  <r>
    <s v="2.º"/>
    <x v="21"/>
    <x v="11"/>
    <s v="Automotores"/>
    <s v="3er Llamado"/>
    <d v="2025-12-09T00:00:00"/>
    <s v="TM"/>
    <d v="1899-12-30T07:10:00"/>
    <m/>
    <m/>
    <s v="Tecnologías de Vehículos Blindados - ORU2 - "/>
  </r>
  <r>
    <s v="2.º"/>
    <x v="22"/>
    <x v="11"/>
    <s v="Automotores"/>
    <s v="1er Llamado"/>
    <d v="2025-11-25T00:00:00"/>
    <s v="TM"/>
    <d v="1899-12-30T07:10:00"/>
    <m/>
    <m/>
    <s v="Sistemas Eléctricos y Electrónicos en Vehículos Blindados - ORU2 - "/>
  </r>
  <r>
    <s v="2.º"/>
    <x v="22"/>
    <x v="11"/>
    <s v="Automotores"/>
    <s v="2do Llamado"/>
    <d v="2025-12-03T00:00:00"/>
    <s v="TM"/>
    <d v="1899-12-30T07:10:00"/>
    <m/>
    <m/>
    <s v="Sistemas Eléctricos y Electrónicos en Vehículos Blindados - ORU2 - "/>
  </r>
  <r>
    <s v="2.º"/>
    <x v="22"/>
    <x v="11"/>
    <s v="Automotores"/>
    <s v="3er Llamado"/>
    <d v="2025-12-11T00:00:00"/>
    <s v="TM"/>
    <d v="1899-12-30T09:30:00"/>
    <m/>
    <m/>
    <s v="Sistemas Eléctricos y Electrónicos en Vehículos Blindados - ORU2 - "/>
  </r>
  <r>
    <s v="2.º"/>
    <x v="23"/>
    <x v="9"/>
    <s v="Automotores"/>
    <s v="1er Llamado"/>
    <d v="2025-11-25T00:00:00"/>
    <s v="TM"/>
    <d v="1899-12-30T07:10:00"/>
    <m/>
    <m/>
    <s v="Sistemas Mecánicos en Vehículos a Rueda - RUE2 - "/>
  </r>
  <r>
    <s v="2.º"/>
    <x v="23"/>
    <x v="9"/>
    <s v="Automotores"/>
    <s v="2do Llamado"/>
    <d v="2025-12-02T00:00:00"/>
    <s v="TM"/>
    <d v="1899-12-30T07:10:00"/>
    <m/>
    <m/>
    <s v="Sistemas Mecánicos en Vehículos a Rueda - RUE2 - "/>
  </r>
  <r>
    <s v="2.º"/>
    <x v="23"/>
    <x v="9"/>
    <s v="Automotores"/>
    <s v="3er Llamado"/>
    <d v="2025-12-09T00:00:00"/>
    <s v="TM"/>
    <d v="1899-12-30T07:10:00"/>
    <m/>
    <m/>
    <s v="Sistemas Mecánicos en Vehículos a Rueda - RUE2 - "/>
  </r>
  <r>
    <s v="2.º"/>
    <x v="24"/>
    <x v="9"/>
    <s v="Automotores"/>
    <s v="1er Llamado"/>
    <d v="2025-11-19T00:00:00"/>
    <s v="TM"/>
    <d v="1899-12-30T07:10:00"/>
    <m/>
    <m/>
    <s v="Técnicas y Metodologías de Mantenimiento en Vehículos a Rueda - RUE2 - "/>
  </r>
  <r>
    <s v="2.º"/>
    <x v="24"/>
    <x v="9"/>
    <s v="Automotores"/>
    <s v="2do Llamado"/>
    <d v="2025-12-01T00:00:00"/>
    <s v="TM"/>
    <d v="1899-12-30T07:10:00"/>
    <m/>
    <m/>
    <s v="Técnicas y Metodologías de Mantenimiento en Vehículos a Rueda - RUE2 - "/>
  </r>
  <r>
    <s v="2.º"/>
    <x v="24"/>
    <x v="9"/>
    <s v="Automotores"/>
    <s v="3er Llamado"/>
    <d v="2025-12-10T00:00:00"/>
    <s v="TM"/>
    <d v="1899-12-30T07:10:00"/>
    <m/>
    <m/>
    <s v="Técnicas y Metodologías de Mantenimiento en Vehículos a Rueda - RUE2 - "/>
  </r>
  <r>
    <s v="2.º"/>
    <x v="9"/>
    <x v="10"/>
    <s v="Automotores"/>
    <s v="1er Llamado"/>
    <d v="2025-11-30T00:00:00"/>
    <s v="TM"/>
    <d v="1899-12-30T07:10:00"/>
    <m/>
    <m/>
    <s v="Termodinámica y Motores de Combustión Interna II - ING2 - "/>
  </r>
  <r>
    <s v="2.º"/>
    <x v="9"/>
    <x v="10"/>
    <s v="Automotores"/>
    <s v="2do Llamado"/>
    <d v="2025-12-03T00:00:00"/>
    <s v="TM"/>
    <d v="1899-12-30T09:30:00"/>
    <m/>
    <m/>
    <s v="Termodinámica y Motores de Combustión Interna II - ING2 - "/>
  </r>
  <r>
    <s v="2.º"/>
    <x v="9"/>
    <x v="10"/>
    <s v="Automotores"/>
    <s v="3er Llamado"/>
    <d v="2025-12-11T00:00:00"/>
    <s v="TM"/>
    <d v="1899-12-30T07:10:00"/>
    <m/>
    <m/>
    <s v="Termodinámica y Motores de Combustión Interna II - ING2 - "/>
  </r>
  <r>
    <s v="2.º"/>
    <x v="9"/>
    <x v="11"/>
    <s v="Automotores"/>
    <s v="1er Llamado"/>
    <d v="2025-11-30T00:00:00"/>
    <s v="TM"/>
    <d v="1899-12-30T07:10:00"/>
    <m/>
    <m/>
    <s v="Termodinámica y Motores de Combustión Interna II - ORU2 - "/>
  </r>
  <r>
    <s v="2.º"/>
    <x v="9"/>
    <x v="11"/>
    <s v="Automotores"/>
    <s v="2do Llamado"/>
    <d v="2025-12-03T00:00:00"/>
    <s v="TM"/>
    <d v="1899-12-30T09:30:00"/>
    <m/>
    <m/>
    <s v="Termodinámica y Motores de Combustión Interna II - ORU2 - "/>
  </r>
  <r>
    <s v="2.º"/>
    <x v="9"/>
    <x v="11"/>
    <s v="Automotores"/>
    <s v="3er Llamado"/>
    <d v="2025-12-11T00:00:00"/>
    <s v="TM"/>
    <d v="1899-12-30T07:10:00"/>
    <m/>
    <m/>
    <s v="Termodinámica y Motores de Combustión Interna II - ORU2 - "/>
  </r>
  <r>
    <s v="2.º"/>
    <x v="9"/>
    <x v="12"/>
    <s v="Automotores"/>
    <s v="1er Llamado"/>
    <d v="2025-11-30T00:00:00"/>
    <s v="TM"/>
    <d v="1899-12-30T07:10:00"/>
    <m/>
    <m/>
    <s v="Termodinámica y Motores de Combustión Interna II - ELEC2 - "/>
  </r>
  <r>
    <s v="2.º"/>
    <x v="9"/>
    <x v="12"/>
    <s v="Automotores"/>
    <s v="2do Llamado"/>
    <d v="2025-12-03T00:00:00"/>
    <s v="TM"/>
    <d v="1899-12-30T09:30:00"/>
    <m/>
    <m/>
    <s v="Termodinámica y Motores de Combustión Interna II - ELEC2 - "/>
  </r>
  <r>
    <s v="2.º"/>
    <x v="9"/>
    <x v="12"/>
    <s v="Automotores"/>
    <s v="3er Llamado"/>
    <d v="2025-12-11T00:00:00"/>
    <s v="TM"/>
    <d v="1899-12-30T07:10:00"/>
    <m/>
    <m/>
    <s v="Termodinámica y Motores de Combustión Interna II - ELEC2 - "/>
  </r>
  <r>
    <s v="1.º"/>
    <x v="2"/>
    <x v="8"/>
    <s v="Automotores"/>
    <s v="1er Llamado"/>
    <d v="2025-11-26T00:00:00"/>
    <s v="TM"/>
    <d v="1899-12-30T09:30:00"/>
    <s v=" Martin Alfredo"/>
    <m/>
    <s v="Procesos Mecánicos - CM2 -  Martin Alfredo"/>
  </r>
  <r>
    <s v="1.º"/>
    <x v="2"/>
    <x v="8"/>
    <s v="Automotores"/>
    <s v="2do Llamado"/>
    <d v="2025-12-09T00:00:00"/>
    <s v="TT"/>
    <d v="1899-12-30T15:10:00"/>
    <s v=" Martin Alfredo"/>
    <m/>
    <s v="Procesos Mecánicos - CM2 -  Martin Alfredo"/>
  </r>
  <r>
    <s v="2.º"/>
    <x v="25"/>
    <x v="10"/>
    <s v="Automotores"/>
    <s v="1er Llamado"/>
    <d v="2025-11-19T00:00:00"/>
    <s v="TM"/>
    <d v="1899-12-30T07:50:00"/>
    <s v=" Martin Alfredo"/>
    <m/>
    <s v="Técnicas y Metodologías de Mantenimiento en Equipos y Máquinas de Ingenieros - ING2 -  Martin Alfredo"/>
  </r>
  <r>
    <s v="2.º"/>
    <x v="25"/>
    <x v="10"/>
    <s v="Automotores"/>
    <s v="2do Llamado"/>
    <d v="2025-12-01T00:00:00"/>
    <s v="TM"/>
    <d v="1899-12-30T09:30:00"/>
    <s v=" Martin Alfredo"/>
    <m/>
    <s v="Técnicas y Metodologías de Mantenimiento en Equipos y Máquinas de Ingenieros - ING2 -  Martin Alfredo"/>
  </r>
  <r>
    <s v="2.º"/>
    <x v="25"/>
    <x v="10"/>
    <s v="Automotores"/>
    <s v="3er Llamado"/>
    <d v="2025-12-10T00:00:00"/>
    <s v="TT"/>
    <d v="1899-12-30T15:10:00"/>
    <s v=" Martin Alfredo"/>
    <m/>
    <s v="Técnicas y Metodologías de Mantenimiento en Equipos y Máquinas de Ingenieros - ING2 -  Martin Alfredo"/>
  </r>
  <r>
    <s v="1.º"/>
    <x v="26"/>
    <x v="4"/>
    <s v="Automotores"/>
    <s v="1er Llamado"/>
    <d v="2025-11-25T00:00:00"/>
    <s v="TT"/>
    <d v="1899-12-30T15:10:00"/>
    <s v=" Martin Alfredo"/>
    <m/>
    <s v="Tecnologías de Automoción - ING1 -  Martin Alfredo"/>
  </r>
  <r>
    <s v="1.º"/>
    <x v="26"/>
    <x v="4"/>
    <s v="Automotores"/>
    <s v="2do Llamado"/>
    <d v="2025-12-09T00:00:00"/>
    <s v="TT"/>
    <d v="1899-12-30T15:10:00"/>
    <s v=" Martin Alfredo"/>
    <m/>
    <s v="Tecnologías de Automoción - ING1 -  Martin Alfredo"/>
  </r>
  <r>
    <s v="2.º"/>
    <x v="27"/>
    <x v="10"/>
    <s v="Automotores"/>
    <s v="1er Llamado"/>
    <d v="2025-11-24T00:00:00"/>
    <s v="TT"/>
    <d v="1899-12-30T15:10:00"/>
    <s v=" Marcelo Eduardo"/>
    <m/>
    <s v="Sistemas de los Equipos y Máquinas de Ingenieros - ING2 -  Marcelo Eduardo"/>
  </r>
  <r>
    <s v="2.º"/>
    <x v="27"/>
    <x v="10"/>
    <s v="Automotores"/>
    <s v="2do Llamado"/>
    <d v="2025-12-01T00:00:00"/>
    <s v="TT"/>
    <d v="1899-12-30T15:10:00"/>
    <s v=" Marcelo Eduardo"/>
    <m/>
    <s v="Sistemas de los Equipos y Máquinas de Ingenieros - ING2 -  Marcelo Eduardo"/>
  </r>
  <r>
    <s v="2.º"/>
    <x v="27"/>
    <x v="10"/>
    <s v="Automotores"/>
    <s v="3er Llamado"/>
    <d v="2025-12-09T00:00:00"/>
    <s v="TM"/>
    <d v="1899-12-30T07:10:00"/>
    <s v=" Marcelo Eduardo"/>
    <m/>
    <s v="Sistemas de los Equipos y Máquinas de Ingenieros - ING2 -  Marcelo Eduardo"/>
  </r>
  <r>
    <s v="1.º"/>
    <x v="28"/>
    <x v="4"/>
    <s v="Automotores"/>
    <s v="1er Llamado"/>
    <d v="2025-11-24T00:00:00"/>
    <s v="TM"/>
    <d v="1899-12-30T07:10:00"/>
    <s v=" Marcelo Eduardo"/>
    <m/>
    <s v="Técnica y Metodología Operativa en Equipos y Máquinas de Ingenieros - ING1 -  Marcelo Eduardo"/>
  </r>
  <r>
    <s v="1.º"/>
    <x v="28"/>
    <x v="4"/>
    <s v="Automotores"/>
    <s v="2do Llamado"/>
    <d v="2025-12-01T00:00:00"/>
    <s v="TM"/>
    <d v="1899-12-30T07:10:00"/>
    <s v=" Marcelo Eduardo"/>
    <m/>
    <s v="Técnica y Metodología Operativa en Equipos y Máquinas de Ingenieros - ING1 -  Marcelo Eduardo"/>
  </r>
  <r>
    <s v="2.º"/>
    <x v="29"/>
    <x v="10"/>
    <s v="Automotores"/>
    <s v="1er Llamado"/>
    <d v="2025-11-25T00:00:00"/>
    <s v="TM"/>
    <d v="1899-12-30T07:10:00"/>
    <s v=" Marcelo Eduardo"/>
    <m/>
    <s v="Tecnologías de Equipos y Máquinas de Ingenieros - ING2 -  Marcelo Eduardo"/>
  </r>
  <r>
    <s v="2.º"/>
    <x v="29"/>
    <x v="10"/>
    <s v="Automotores"/>
    <s v="2do Llamado"/>
    <d v="2025-12-02T00:00:00"/>
    <s v="TM"/>
    <d v="1899-12-30T07:10:00"/>
    <s v=" Marcelo Eduardo"/>
    <m/>
    <s v="Tecnologías de Equipos y Máquinas de Ingenieros - ING2 -  Marcelo Eduardo"/>
  </r>
  <r>
    <s v="2.º"/>
    <x v="29"/>
    <x v="10"/>
    <s v="Automotores"/>
    <s v="3er Llamado"/>
    <d v="2025-12-09T00:00:00"/>
    <s v="TM"/>
    <d v="1899-12-30T09:30:00"/>
    <s v=" Marcelo Eduardo"/>
    <m/>
    <s v="Tecnologías de Equipos y Máquinas de Ingenieros - ING2 -  Marcelo Eduardo"/>
  </r>
  <r>
    <s v="2.º"/>
    <x v="30"/>
    <x v="3"/>
    <s v="Automotores"/>
    <s v="1er Llamado"/>
    <d v="2025-11-30T00:00:00"/>
    <s v="TM"/>
    <d v="1899-12-30T09:30:00"/>
    <s v=" Víctor Manuel "/>
    <m/>
    <s v="Sistemas del Automotor - CM5 -  Víctor Manuel "/>
  </r>
  <r>
    <s v="2.º"/>
    <x v="30"/>
    <x v="3"/>
    <s v="Automotores"/>
    <s v="2do Llamado"/>
    <d v="2025-12-02T00:00:00"/>
    <s v="TT"/>
    <d v="1899-12-30T15:10:00"/>
    <s v=" Víctor Manuel "/>
    <m/>
    <s v="Sistemas del Automotor - CM5 -  Víctor Manuel "/>
  </r>
  <r>
    <s v="2.º"/>
    <x v="30"/>
    <x v="3"/>
    <s v="Automotores"/>
    <s v="3er Llamado"/>
    <d v="2025-12-09T00:00:00"/>
    <s v="TM"/>
    <d v="1899-12-30T07:10:00"/>
    <s v=" Víctor Manuel "/>
    <m/>
    <s v="Sistemas del Automotor - CM5 -  Víctor Manuel "/>
  </r>
  <r>
    <s v="1.º"/>
    <x v="31"/>
    <x v="5"/>
    <s v="Automotores"/>
    <s v="1er Llamado"/>
    <d v="2025-11-24T00:00:00"/>
    <s v="TM"/>
    <d v="1899-12-30T07:10:00"/>
    <s v=" Víctor Manuel "/>
    <m/>
    <s v="Técnica y Metodología Operativa en Vehículos Blindados - ORU1 -  Víctor Manuel "/>
  </r>
  <r>
    <s v="1.º"/>
    <x v="31"/>
    <x v="5"/>
    <s v="Automotores"/>
    <s v="2do Llamado"/>
    <d v="2025-12-01T00:00:00"/>
    <s v="TM"/>
    <d v="1899-12-30T07:10:00"/>
    <s v=" Víctor Manuel "/>
    <m/>
    <s v="Técnica y Metodología Operativa en Vehículos Blindados - ORU1 -  Víctor Manuel "/>
  </r>
  <r>
    <s v="1.º"/>
    <x v="12"/>
    <x v="4"/>
    <s v="Automotores"/>
    <s v="1er Llamado"/>
    <d v="2025-11-24T00:00:00"/>
    <s v="TT"/>
    <d v="1899-12-30T15:10:00"/>
    <s v=" Víctor Manuel "/>
    <m/>
    <s v="Termodinámica y Motores de Combustión Interna I - ING1 -  Víctor Manuel "/>
  </r>
  <r>
    <s v="1.º"/>
    <x v="12"/>
    <x v="4"/>
    <s v="Automotores"/>
    <s v="2do Llamado"/>
    <d v="2025-12-01T00:00:00"/>
    <s v="TT"/>
    <d v="1899-12-30T15:10:00"/>
    <s v=" Víctor Manuel "/>
    <m/>
    <s v="Termodinámica y Motores de Combustión Interna I - ING1 -  Víctor Manuel "/>
  </r>
  <r>
    <s v="1.º"/>
    <x v="12"/>
    <x v="5"/>
    <s v="Automotores"/>
    <s v="1er Llamado"/>
    <d v="2025-11-24T00:00:00"/>
    <s v="TT"/>
    <d v="1899-12-30T15:10:00"/>
    <s v=" Víctor Manuel "/>
    <m/>
    <s v="Termodinámica y Motores de Combustión Interna I - ORU1 -  Víctor Manuel "/>
  </r>
  <r>
    <s v="1.º"/>
    <x v="12"/>
    <x v="5"/>
    <s v="Automotores"/>
    <s v="2do Llamado"/>
    <d v="2025-12-01T00:00:00"/>
    <s v="TT"/>
    <d v="1899-12-30T15:10:00"/>
    <s v=" Víctor Manuel "/>
    <m/>
    <s v="Termodinámica y Motores de Combustión Interna I - ORU1 -  Víctor Manuel "/>
  </r>
  <r>
    <s v="1.º"/>
    <x v="12"/>
    <x v="7"/>
    <s v="Automotores"/>
    <s v="1er Llamado"/>
    <d v="2025-11-30T00:00:00"/>
    <s v="TM"/>
    <d v="1899-12-30T07:10:00"/>
    <s v=" Víctor Manuel "/>
    <m/>
    <s v="Termodinámica y Motores de Combustión Interna I - RUE1 -  Víctor Manuel "/>
  </r>
  <r>
    <s v="1.º"/>
    <x v="12"/>
    <x v="7"/>
    <s v="Automotores"/>
    <s v="2do Llamado"/>
    <d v="2025-12-01T00:00:00"/>
    <s v="TT"/>
    <d v="1899-12-30T15:10:00"/>
    <s v=" Víctor Manuel "/>
    <m/>
    <s v="Termodinámica y Motores de Combustión Interna I - RUE1 -  Víctor Manuel "/>
  </r>
  <r>
    <s v="2.º"/>
    <x v="9"/>
    <x v="1"/>
    <s v="Automotores"/>
    <s v="1er Llamado"/>
    <d v="2025-11-30T00:00:00"/>
    <s v="TT"/>
    <d v="1899-12-30T15:10:00"/>
    <s v=" Víctor Manuel "/>
    <m/>
    <s v="Termodinámica y Motores de Combustión Interna II - CM4 -  Víctor Manuel "/>
  </r>
  <r>
    <s v="2.º"/>
    <x v="9"/>
    <x v="1"/>
    <s v="Automotores"/>
    <s v="2do Llamado"/>
    <d v="2025-12-02T00:00:00"/>
    <s v="TM"/>
    <d v="1899-12-30T07:10:00"/>
    <s v=" Víctor Manuel "/>
    <m/>
    <s v="Termodinámica y Motores de Combustión Interna II - CM4 -  Víctor Manuel "/>
  </r>
  <r>
    <s v="2.º"/>
    <x v="9"/>
    <x v="1"/>
    <s v="Automotores"/>
    <s v="3er Llamado"/>
    <d v="2025-12-11T00:00:00"/>
    <s v="TM"/>
    <d v="1899-12-30T07:10:00"/>
    <s v=" Víctor Manuel "/>
    <m/>
    <s v="Termodinámica y Motores de Combustión Interna II - CM4 -  Víctor Manuel "/>
  </r>
  <r>
    <s v="2.º"/>
    <x v="10"/>
    <x v="1"/>
    <s v="Automotores"/>
    <s v="1er Llamado"/>
    <d v="2025-11-24T00:00:00"/>
    <s v="TT"/>
    <d v="1899-12-30T15:10:00"/>
    <s v=" Hernán Ariel "/>
    <m/>
    <s v="Representación Gráfica Asistida por Computadora - CM4 -  Hernán Ariel "/>
  </r>
  <r>
    <s v="2.º"/>
    <x v="10"/>
    <x v="1"/>
    <s v="Automotores"/>
    <s v="2do Llamado"/>
    <d v="2025-12-01T00:00:00"/>
    <s v="TT"/>
    <d v="1899-12-30T15:10:00"/>
    <s v=" Hernán Ariel "/>
    <m/>
    <s v="Representación Gráfica Asistida por Computadora - CM4 -  Hernán Ariel "/>
  </r>
  <r>
    <s v="2.º"/>
    <x v="10"/>
    <x v="1"/>
    <s v="Automotores"/>
    <s v="3er Llamado"/>
    <d v="2025-12-10T00:00:00"/>
    <s v="TT"/>
    <d v="1899-12-30T15:10:00"/>
    <s v=" Hernán Ariel "/>
    <m/>
    <s v="Representación Gráfica Asistida por Computadora - CM4 -  Hernán Ariel "/>
  </r>
  <r>
    <s v="2.º"/>
    <x v="10"/>
    <x v="3"/>
    <s v="Automotores"/>
    <s v="1er Llamado"/>
    <d v="2025-11-25T00:00:00"/>
    <s v="TT"/>
    <d v="1899-12-30T15:10:00"/>
    <s v=" Hernán Ariel "/>
    <m/>
    <s v="Representación Gráfica Asistida por Computadora - CM5 -  Hernán Ariel "/>
  </r>
  <r>
    <s v="2.º"/>
    <x v="10"/>
    <x v="3"/>
    <s v="Automotores"/>
    <s v="2do Llamado"/>
    <d v="2025-12-01T00:00:00"/>
    <s v="TT"/>
    <d v="1899-12-30T15:10:00"/>
    <s v=" Hernán Ariel "/>
    <m/>
    <s v="Representación Gráfica Asistida por Computadora - CM5 -  Hernán Ariel "/>
  </r>
  <r>
    <s v="2.º"/>
    <x v="10"/>
    <x v="3"/>
    <s v="Automotores"/>
    <s v="3er Llamado"/>
    <d v="2025-12-09T00:00:00"/>
    <s v="TT"/>
    <d v="1899-12-30T15:10:00"/>
    <s v=" Hernán Ariel "/>
    <m/>
    <s v="Representación Gráfica Asistida por Computadora - CM5 -  Hernán Ariel "/>
  </r>
  <r>
    <s v="2.º"/>
    <x v="10"/>
    <x v="10"/>
    <s v="Automotores"/>
    <s v="1er Llamado"/>
    <d v="2025-11-25T00:00:00"/>
    <s v="TT"/>
    <d v="1899-12-30T15:10:00"/>
    <s v=" Hernán Ariel "/>
    <m/>
    <s v="Representación Gráfica Asistida por Computadora - ING2 -  Hernán Ariel "/>
  </r>
  <r>
    <s v="2.º"/>
    <x v="10"/>
    <x v="10"/>
    <s v="Automotores"/>
    <s v="2do Llamado"/>
    <d v="2025-12-02T00:00:00"/>
    <s v="TT"/>
    <d v="1899-12-30T16:50:00"/>
    <s v=" Hernán Ariel "/>
    <m/>
    <s v="Representación Gráfica Asistida por Computadora - ING2 -  Hernán Ariel "/>
  </r>
  <r>
    <s v="2.º"/>
    <x v="10"/>
    <x v="10"/>
    <s v="Automotores"/>
    <s v="3er Llamado"/>
    <d v="2025-12-09T00:00:00"/>
    <s v="TT"/>
    <d v="1899-12-30T15:10:00"/>
    <s v=" Hernán Ariel "/>
    <m/>
    <s v="Representación Gráfica Asistida por Computadora - ING2 -  Hernán Ariel "/>
  </r>
  <r>
    <s v="2.º"/>
    <x v="10"/>
    <x v="11"/>
    <s v="Automotores"/>
    <s v="1er Llamado"/>
    <d v="2025-11-25T00:00:00"/>
    <s v="TT"/>
    <d v="1899-12-30T15:10:00"/>
    <s v=" Hernán Ariel "/>
    <m/>
    <s v="Representación Gráfica Asistida por Computadora - ORU2 -  Hernán Ariel "/>
  </r>
  <r>
    <s v="2.º"/>
    <x v="10"/>
    <x v="11"/>
    <s v="Automotores"/>
    <s v="2do Llamado"/>
    <d v="2025-12-02T00:00:00"/>
    <s v="TT"/>
    <d v="1899-12-30T16:50:00"/>
    <s v=" Hernán Ariel "/>
    <m/>
    <s v="Representación Gráfica Asistida por Computadora - ORU2 -  Hernán Ariel "/>
  </r>
  <r>
    <s v="2.º"/>
    <x v="10"/>
    <x v="11"/>
    <s v="Automotores"/>
    <s v="3er Llamado"/>
    <d v="2025-12-09T00:00:00"/>
    <s v="TT"/>
    <d v="1899-12-30T15:10:00"/>
    <s v=" Hernán Ariel "/>
    <m/>
    <s v="Representación Gráfica Asistida por Computadora - ORU2 -  Hernán Ariel "/>
  </r>
  <r>
    <s v="2.º"/>
    <x v="10"/>
    <x v="12"/>
    <s v="Automotores"/>
    <s v="1er Llamado"/>
    <d v="2025-11-25T00:00:00"/>
    <s v="TT"/>
    <d v="1899-12-30T15:10:00"/>
    <s v=" Hernán Ariel "/>
    <m/>
    <s v="Representación Gráfica Asistida por Computadora - ELEC2 -  Hernán Ariel "/>
  </r>
  <r>
    <s v="2.º"/>
    <x v="10"/>
    <x v="12"/>
    <s v="Automotores"/>
    <s v="2do Llamado"/>
    <d v="2025-12-02T00:00:00"/>
    <s v="TT"/>
    <d v="1899-12-30T16:50:00"/>
    <s v=" Hernán Ariel "/>
    <m/>
    <s v="Representación Gráfica Asistida por Computadora - ELEC2 -  Hernán Ariel "/>
  </r>
  <r>
    <s v="2.º"/>
    <x v="10"/>
    <x v="12"/>
    <s v="Automotores"/>
    <s v="3er Llamado"/>
    <d v="2025-12-09T00:00:00"/>
    <s v="TT"/>
    <d v="1899-12-30T15:10:00"/>
    <s v=" Hernán Ariel "/>
    <m/>
    <s v="Representación Gráfica Asistida por Computadora - ELEC2 -  Hernán Ariel "/>
  </r>
  <r>
    <s v="2.º"/>
    <x v="3"/>
    <x v="3"/>
    <s v="Automotores"/>
    <s v="1er Llamado"/>
    <d v="2025-11-24T00:00:00"/>
    <s v="TT"/>
    <d v="1899-12-30T15:10:00"/>
    <s v=" Carlos"/>
    <m/>
    <s v="Técnicas y Metodologías de Operación en Vehículos - CM5 -  Carlos"/>
  </r>
  <r>
    <s v="2.º"/>
    <x v="3"/>
    <x v="3"/>
    <s v="Automotores"/>
    <s v="2do Llamado"/>
    <d v="2025-12-02T00:00:00"/>
    <s v="TM"/>
    <d v="1899-12-30T07:10:00"/>
    <s v=" Carlos"/>
    <m/>
    <s v="Técnicas y Metodologías de Operación en Vehículos - CM5 -  Carlos"/>
  </r>
  <r>
    <s v="2.º"/>
    <x v="3"/>
    <x v="3"/>
    <s v="Automotores"/>
    <s v="3er Llamado"/>
    <d v="2025-12-10T00:00:00"/>
    <s v="TT"/>
    <d v="1899-12-30T15:10:00"/>
    <s v=" Carlos"/>
    <m/>
    <s v="Técnicas y Metodologías de Operación en Vehículos - CM5 -  Carlos"/>
  </r>
  <r>
    <s v="1.º"/>
    <x v="16"/>
    <x v="0"/>
    <s v="Automotores"/>
    <s v="1er Llamado"/>
    <d v="2025-11-30T00:00:00"/>
    <s v="TM"/>
    <d v="1899-12-30T07:10:00"/>
    <s v=" Alberto Rubén "/>
    <m/>
    <s v="Técnica y Metodología Operativa en Vehículos de Ejército - CM1 -  Alberto Rubén "/>
  </r>
  <r>
    <s v="1.º"/>
    <x v="16"/>
    <x v="2"/>
    <s v="Automotores"/>
    <s v="1er Llamado"/>
    <d v="2025-11-30T00:00:00"/>
    <s v="TT"/>
    <d v="1899-12-30T15:10:00"/>
    <s v=" Alberto Rubén "/>
    <m/>
    <s v="Técnica y Metodología Operativa en Vehículos de Ejército - CM3 -  Alberto Rubén "/>
  </r>
  <r>
    <s v="1.º"/>
    <x v="16"/>
    <x v="0"/>
    <s v="Automotores"/>
    <s v="2do Llamado"/>
    <d v="2025-12-02T00:00:00"/>
    <s v="TM"/>
    <d v="1899-12-30T09:30:00"/>
    <s v=" Alberto Rubén "/>
    <m/>
    <s v="Técnica y Metodología Operativa en Vehículos de Ejército - CM1 -  Alberto Rubén "/>
  </r>
  <r>
    <s v="1.º"/>
    <x v="16"/>
    <x v="2"/>
    <s v="Automotores"/>
    <s v="2do Llamado"/>
    <d v="2025-12-01T00:00:00"/>
    <s v="TM"/>
    <d v="1899-12-30T09:30:00"/>
    <s v=" Alberto Rubén "/>
    <m/>
    <s v="Técnica y Metodología Operativa en Vehículos de Ejército - CM3 -  Alberto Rubén "/>
  </r>
  <r>
    <s v="1.º"/>
    <x v="32"/>
    <x v="8"/>
    <s v="Automotores"/>
    <s v="1er Llamado"/>
    <d v="2025-11-24T00:00:00"/>
    <s v="TT"/>
    <d v="1899-12-30T15:10:00"/>
    <s v=" Alberto Rubén "/>
    <m/>
    <s v="Transporte, Logística y Abastecimiento I - CM2 -  Alberto Rubén "/>
  </r>
  <r>
    <s v="1.º"/>
    <x v="32"/>
    <x v="8"/>
    <s v="Automotores"/>
    <s v="2do Llamado"/>
    <d v="2025-12-02T00:00:00"/>
    <s v="TM"/>
    <d v="1899-12-30T07:10:00"/>
    <s v=" Alberto Rubén "/>
    <m/>
    <s v="Transporte, Logística y Abastecimiento I - CM2 -  Alberto Rubén "/>
  </r>
  <r>
    <s v="2.º"/>
    <x v="4"/>
    <x v="1"/>
    <s v="Automotores"/>
    <s v="1er Llamado"/>
    <d v="2025-11-25T00:00:00"/>
    <s v="TT"/>
    <d v="1899-12-30T15:10:00"/>
    <s v=" Alberto Rubén "/>
    <m/>
    <s v="Transporte, Logística y Abastecimiento II - CM4 -  Alberto Rubén "/>
  </r>
  <r>
    <s v="2.º"/>
    <x v="4"/>
    <x v="1"/>
    <s v="Automotores"/>
    <s v="2do Llamado"/>
    <d v="2025-12-02T00:00:00"/>
    <s v="TT"/>
    <d v="1899-12-30T15:10:00"/>
    <s v=" Alberto Rubén "/>
    <m/>
    <s v="Transporte, Logística y Abastecimiento II - CM4 -  Alberto Rubén "/>
  </r>
  <r>
    <s v="2.º"/>
    <x v="4"/>
    <x v="1"/>
    <s v="Automotores"/>
    <s v="3er Llamado"/>
    <d v="2025-12-09T00:00:00"/>
    <s v="TT"/>
    <d v="1899-12-30T15:10:00"/>
    <s v=" Alberto Rubén "/>
    <m/>
    <s v="Transporte, Logística y Abastecimiento II - CM4 -  Alberto Rubén "/>
  </r>
  <r>
    <s v="1.º"/>
    <x v="12"/>
    <x v="8"/>
    <s v="Automotores"/>
    <s v="1er Llamado"/>
    <d v="2025-11-26T00:00:00"/>
    <s v="TT"/>
    <d v="1899-12-30T15:10:00"/>
    <s v=" Emiliano"/>
    <m/>
    <s v="Termodinámica y Motores de Combustión Interna I - CM2 -  Emiliano"/>
  </r>
  <r>
    <s v="1.º"/>
    <x v="12"/>
    <x v="8"/>
    <s v="Automotores"/>
    <s v="2do Llamado"/>
    <d v="2025-12-10T00:00:00"/>
    <s v="TT"/>
    <d v="1899-12-30T15:10:00"/>
    <s v=" Emiliano"/>
    <m/>
    <s v="Termodinámica y Motores de Combustión Interna I - CM2 -  Emiliano"/>
  </r>
  <r>
    <s v="1.º"/>
    <x v="12"/>
    <x v="6"/>
    <s v="Automotores"/>
    <s v="1er Llamado"/>
    <d v="2025-11-25T00:00:00"/>
    <s v="TT"/>
    <d v="1899-12-30T15:10:00"/>
    <s v=" Emiliano"/>
    <m/>
    <s v="Termodinámica y Motores de Combustión Interna I - ELEC1 -  Emiliano"/>
  </r>
  <r>
    <s v="1.º"/>
    <x v="12"/>
    <x v="6"/>
    <s v="Automotores"/>
    <s v="2do Llamado"/>
    <d v="2025-12-02T00:00:00"/>
    <s v="TT"/>
    <d v="1899-12-30T15:10:00"/>
    <s v=" Emiliano"/>
    <m/>
    <s v="Termodinámica y Motores de Combustión Interna I - ELEC1 -  Emiliano"/>
  </r>
  <r>
    <s v="1.º"/>
    <x v="13"/>
    <x v="8"/>
    <s v="Automotores"/>
    <s v="1er Llamado"/>
    <d v="2025-11-25T00:00:00"/>
    <s v="TT"/>
    <d v="1899-12-30T15:10:00"/>
    <s v=" Lucia"/>
    <m/>
    <s v="Régimen Funcional de Arsenales - CM2 -  Lucia"/>
  </r>
  <r>
    <s v="1.º"/>
    <x v="13"/>
    <x v="8"/>
    <s v="Automotores"/>
    <s v="2do Llamado"/>
    <d v="2025-12-09T00:00:00"/>
    <s v="TM"/>
    <d v="1899-12-30T09:30:00"/>
    <s v=" Lucia"/>
    <m/>
    <s v="Régimen Funcional de Arsenales - CM2 -  Lucia"/>
  </r>
  <r>
    <s v="2.º"/>
    <x v="30"/>
    <x v="1"/>
    <s v="Automotores"/>
    <s v="1er Llamado"/>
    <d v="2025-11-19T00:00:00"/>
    <s v="TM"/>
    <d v="1899-12-30T07:10:00"/>
    <s v=" Miqueas"/>
    <m/>
    <s v="Sistemas del Automotor - CM4 -  Miqueas"/>
  </r>
  <r>
    <s v="2.º"/>
    <x v="30"/>
    <x v="1"/>
    <s v="Automotores"/>
    <s v="2do Llamado"/>
    <d v="2025-12-03T00:00:00"/>
    <s v="TM"/>
    <d v="1899-12-30T09:30:00"/>
    <s v=" Miqueas"/>
    <m/>
    <s v="Sistemas del Automotor - CM4 -  Miqueas"/>
  </r>
  <r>
    <s v="2.º"/>
    <x v="30"/>
    <x v="1"/>
    <s v="Automotores"/>
    <s v="3er Llamado"/>
    <d v="2025-12-10T00:00:00"/>
    <s v="TM"/>
    <d v="1899-12-30T09:30:00"/>
    <s v=" Miqueas"/>
    <m/>
    <s v="Sistemas del Automotor - CM4 -  Miqueas"/>
  </r>
  <r>
    <s v="2.º"/>
    <x v="33"/>
    <x v="9"/>
    <s v="Automotores"/>
    <s v="1er Llamado"/>
    <d v="2025-11-30T00:00:00"/>
    <s v="TT"/>
    <d v="1899-12-30T15:10:00"/>
    <s v=" Miqueas"/>
    <m/>
    <s v="Sistemas Eléctricos y Electrónicos en Vehículos a Rueda - RUE2 -  Miqueas"/>
  </r>
  <r>
    <s v="2.º"/>
    <x v="33"/>
    <x v="9"/>
    <s v="Automotores"/>
    <s v="2do Llamado"/>
    <d v="2025-12-03T00:00:00"/>
    <s v="TM"/>
    <d v="1899-12-30T09:30:00"/>
    <s v=" Miqueas"/>
    <m/>
    <s v="Sistemas Eléctricos y Electrónicos en Vehículos a Rueda - RUE2 -  Miqueas"/>
  </r>
  <r>
    <s v="2.º"/>
    <x v="33"/>
    <x v="9"/>
    <s v="Automotores"/>
    <s v="3er Llamado"/>
    <d v="2025-12-11T00:00:00"/>
    <s v="TM"/>
    <d v="1899-12-30T09:30:00"/>
    <s v=" Miqueas"/>
    <m/>
    <s v="Sistemas Eléctricos y Electrónicos en Vehículos a Rueda - RUE2 -  Miqueas"/>
  </r>
  <r>
    <s v="1.º"/>
    <x v="8"/>
    <x v="0"/>
    <s v="Automotores"/>
    <s v="1er Llamado"/>
    <d v="2025-11-26T00:00:00"/>
    <s v="TM"/>
    <d v="1899-12-30T07:10:00"/>
    <s v=" Miqueas"/>
    <m/>
    <s v="Tecnología del Automotor - CM1 -  Miqueas"/>
  </r>
  <r>
    <s v="1.º"/>
    <x v="8"/>
    <x v="0"/>
    <s v="Automotores"/>
    <s v="2do Llamado"/>
    <d v="2025-12-03T00:00:00"/>
    <s v="TM"/>
    <d v="1899-12-30T07:10:00"/>
    <s v=" Miqueas"/>
    <m/>
    <s v="Tecnología del Automotor - CM1 -  Miqueas"/>
  </r>
  <r>
    <s v="2.º"/>
    <x v="34"/>
    <x v="9"/>
    <s v="Automotores"/>
    <s v="1er Llamado"/>
    <d v="2025-11-25T00:00:00"/>
    <s v="TT"/>
    <d v="1899-12-30T15:10:00"/>
    <s v=" Alexis"/>
    <m/>
    <s v="Tecnologías de Vehículos a Rueda - RUE2 -  Alexis"/>
  </r>
  <r>
    <s v="2.º"/>
    <x v="34"/>
    <x v="9"/>
    <s v="Automotores"/>
    <s v="2do Llamado"/>
    <d v="2025-12-02T00:00:00"/>
    <s v="TT"/>
    <d v="1899-12-30T15:10:00"/>
    <s v=" Alexis"/>
    <m/>
    <s v="Tecnologías de Vehículos a Rueda - RUE2 -  Alexis"/>
  </r>
  <r>
    <s v="2.º"/>
    <x v="34"/>
    <x v="9"/>
    <s v="Automotores"/>
    <s v="3er Llamado"/>
    <d v="2025-12-09T00:00:00"/>
    <s v="TT"/>
    <d v="1899-12-30T15:10:00"/>
    <s v=" Alexis"/>
    <m/>
    <s v="Tecnologías de Vehículos a Rueda - RUE2 -  Alexis"/>
  </r>
  <r>
    <s v="2.º"/>
    <x v="15"/>
    <x v="3"/>
    <s v="Automotores"/>
    <s v="1er Llamado"/>
    <d v="2025-11-24T00:00:00"/>
    <s v="TM"/>
    <d v="1899-12-30T07:10:00"/>
    <s v=" Manuel"/>
    <m/>
    <s v="Tecnologías de Mantenimiento Preventivo en Vehículos - CM5 -  Manuel"/>
  </r>
  <r>
    <s v="2.º"/>
    <x v="15"/>
    <x v="3"/>
    <s v="Automotores"/>
    <s v="2do Llamado"/>
    <d v="2025-12-01T00:00:00"/>
    <s v="TM"/>
    <d v="1899-12-30T07:10:00"/>
    <s v=" Manuel"/>
    <m/>
    <s v="Tecnologías de Mantenimiento Preventivo en Vehículos - CM5 -  Manuel"/>
  </r>
  <r>
    <s v="2.º"/>
    <x v="15"/>
    <x v="3"/>
    <s v="Automotores"/>
    <s v="3er Llamado"/>
    <d v="2025-12-10T00:00:00"/>
    <s v="TM"/>
    <d v="1899-12-30T09:30:00"/>
    <s v=" Manuel"/>
    <m/>
    <s v="Tecnologías de Mantenimiento Preventivo en Vehículos - CM5 -  Manuel"/>
  </r>
  <r>
    <s v="1.º"/>
    <x v="32"/>
    <x v="0"/>
    <s v="Automotores"/>
    <s v="1er Llamado"/>
    <d v="2025-11-19T00:00:00"/>
    <s v="TM"/>
    <d v="1899-12-30T07:10:00"/>
    <s v=" Osvaldo"/>
    <m/>
    <s v="Transporte, Logística y Abastecimiento I - CM1 -  Osvaldo"/>
  </r>
  <r>
    <s v="1.º"/>
    <x v="32"/>
    <x v="2"/>
    <s v="Automotores"/>
    <s v="1er Llamado"/>
    <d v="2025-11-26T00:00:00"/>
    <s v="TM"/>
    <d v="1899-12-30T07:10:00"/>
    <s v=" Osvaldo"/>
    <m/>
    <s v="Transporte, Logística y Abastecimiento I - CM3 -  Osvaldo"/>
  </r>
  <r>
    <s v="1.º"/>
    <x v="32"/>
    <x v="0"/>
    <s v="Automotores"/>
    <s v="2do Llamado"/>
    <d v="2025-12-10T00:00:00"/>
    <s v="TM"/>
    <d v="1899-12-30T07:10:00"/>
    <s v=" Osvaldo"/>
    <m/>
    <s v="Transporte, Logística y Abastecimiento I - CM1 -  Osvaldo"/>
  </r>
  <r>
    <s v="1.º"/>
    <x v="32"/>
    <x v="2"/>
    <s v="Automotores"/>
    <s v="2do Llamado"/>
    <d v="2025-12-10T00:00:00"/>
    <s v="TM"/>
    <d v="1899-12-30T07:10:00"/>
    <s v=" Osvaldo"/>
    <m/>
    <s v="Transporte, Logística y Abastecimiento I - CM3 -  Osvaldo"/>
  </r>
  <r>
    <s v="1.º"/>
    <x v="35"/>
    <x v="5"/>
    <s v="Automotores"/>
    <s v="1er Llamado"/>
    <d v="2025-11-30T00:00:00"/>
    <s v="TT"/>
    <d v="1899-12-30T15:10:00"/>
    <s v=" Héctor"/>
    <m/>
    <s v="Tecnologías de los Sistemas de Vehículos Blindados - ORU1 -  Héctor"/>
  </r>
  <r>
    <s v="1.º"/>
    <x v="35"/>
    <x v="5"/>
    <s v="Automotores"/>
    <s v="2do Llamado"/>
    <d v="2025-12-02T00:00:00"/>
    <s v="TM"/>
    <d v="1899-12-30T09:30:00"/>
    <s v=" Héctor"/>
    <m/>
    <s v="Tecnologías de los Sistemas de Vehículos Blindados - ORU1 -  Héctor"/>
  </r>
  <r>
    <s v="1.º"/>
    <x v="2"/>
    <x v="6"/>
    <s v="Automotores"/>
    <s v="1er Llamado"/>
    <d v="2025-11-25T00:00:00"/>
    <s v="TM"/>
    <d v="1899-12-30T09:30:00"/>
    <s v=" Hernán Darío "/>
    <m/>
    <s v="Procesos Mecánicos - ELEC1 -  Hernán Darío "/>
  </r>
  <r>
    <s v="1.º"/>
    <x v="2"/>
    <x v="6"/>
    <s v="Automotores"/>
    <s v="2do Llamado"/>
    <d v="2025-12-09T00:00:00"/>
    <s v="TM"/>
    <d v="1899-12-30T09:30:00"/>
    <s v=" Hernán Darío "/>
    <m/>
    <s v="Procesos Mecánicos - ELEC1 -  Hernán Darío "/>
  </r>
  <r>
    <s v="2.º"/>
    <x v="36"/>
    <x v="12"/>
    <s v="Automotores"/>
    <s v="1er Llamado"/>
    <d v="2025-11-24T00:00:00"/>
    <s v="TM"/>
    <d v="1899-12-30T09:30:00"/>
    <s v=" Hernán Darío "/>
    <m/>
    <s v="Sistemas de Autotrónica - ELEC2 -  Hernán Darío "/>
  </r>
  <r>
    <s v="2.º"/>
    <x v="36"/>
    <x v="12"/>
    <s v="Automotores"/>
    <s v="2do Llamado"/>
    <d v="2025-12-02T00:00:00"/>
    <s v="TT"/>
    <d v="1899-12-30T15:10:00"/>
    <s v=" Hernán Darío "/>
    <m/>
    <s v="Sistemas de Autotrónica - ELEC2 -  Hernán Darío "/>
  </r>
  <r>
    <s v="2.º"/>
    <x v="36"/>
    <x v="12"/>
    <s v="Automotores"/>
    <s v="3er Llamado"/>
    <d v="2025-12-09T00:00:00"/>
    <s v="TM"/>
    <d v="1899-12-30T09:30:00"/>
    <s v=" Hernán Darío "/>
    <m/>
    <s v="Sistemas de Autotrónica - ELEC2 -  Hernán Darío "/>
  </r>
  <r>
    <s v="2.º"/>
    <x v="37"/>
    <x v="12"/>
    <s v="Automotores"/>
    <s v="1er Llamado"/>
    <d v="2025-11-25T00:00:00"/>
    <s v="TM"/>
    <d v="1899-12-30T07:10:00"/>
    <s v=" Hernán Darío "/>
    <m/>
    <s v="Sistemas Electromecánicos del Automotor - ELEC2 -  Hernán Darío "/>
  </r>
  <r>
    <s v="2.º"/>
    <x v="37"/>
    <x v="12"/>
    <s v="Automotores"/>
    <s v="2do Llamado"/>
    <d v="2025-12-02T00:00:00"/>
    <s v="TM"/>
    <d v="1899-12-30T07:10:00"/>
    <s v=" Hernán Darío "/>
    <m/>
    <s v="Sistemas Electromecánicos del Automotor - ELEC2 -  Hernán Darío "/>
  </r>
  <r>
    <s v="2.º"/>
    <x v="37"/>
    <x v="12"/>
    <s v="Automotores"/>
    <s v="3er Llamado"/>
    <d v="2025-12-09T00:00:00"/>
    <s v="TM"/>
    <d v="1899-12-30T07:10:00"/>
    <s v=" Hernán Darío "/>
    <m/>
    <s v="Sistemas Electromecánicos del Automotor - ELEC2 -  Hernán Darío "/>
  </r>
  <r>
    <s v="1.º"/>
    <x v="38"/>
    <x v="6"/>
    <s v="Automotores"/>
    <s v="1er Llamado"/>
    <d v="2025-11-30T00:00:00"/>
    <s v="TM"/>
    <d v="1899-12-30T07:10:00"/>
    <s v=" Hernán Darío "/>
    <m/>
    <s v="Técnica y Metodología Operativa en Sistemas Eléctricos y Electrónicos del Vehículo - ELEC1 -  Hernán Darío "/>
  </r>
  <r>
    <s v="1.º"/>
    <x v="38"/>
    <x v="6"/>
    <s v="Automotores"/>
    <s v="2do Llamado"/>
    <d v="2025-12-01T00:00:00"/>
    <s v="TT"/>
    <d v="1899-12-30T15:10:00"/>
    <s v=" Hernán Darío "/>
    <m/>
    <s v="Técnica y Metodología Operativa en Sistemas Eléctricos y Electrónicos del Vehículo - ELEC1 -  Hernán Darío "/>
  </r>
  <r>
    <s v="1.º"/>
    <x v="39"/>
    <x v="6"/>
    <s v="Automotores"/>
    <s v="1er Llamado"/>
    <d v="2025-11-30T00:00:00"/>
    <s v="TT"/>
    <d v="1899-12-30T15:10:00"/>
    <s v=" Hernán Darío "/>
    <m/>
    <s v="Tecnologías de Autotrónica - ELEC1 -  Hernán Darío "/>
  </r>
  <r>
    <s v="1.º"/>
    <x v="39"/>
    <x v="6"/>
    <s v="Automotores"/>
    <s v="2do Llamado"/>
    <d v="2025-12-02T00:00:00"/>
    <s v="TM"/>
    <d v="1899-12-30T07:10:00"/>
    <s v=" Hernán Darío "/>
    <m/>
    <s v="Tecnologías de Autotrónica - ELEC1 -  Hernán Darío "/>
  </r>
  <r>
    <s v="1.º"/>
    <x v="13"/>
    <x v="4"/>
    <s v="Automotores"/>
    <s v="1er Llamado"/>
    <d v="2025-11-27T00:00:00"/>
    <s v="TM"/>
    <d v="1899-12-30T07:10:00"/>
    <s v=" Lucas"/>
    <m/>
    <s v="Régimen Funcional de Arsenales - ING1 -  Lucas"/>
  </r>
  <r>
    <s v="1.º"/>
    <x v="13"/>
    <x v="4"/>
    <s v="Automotores"/>
    <s v="2do Llamado"/>
    <d v="2025-12-02T00:00:00"/>
    <s v="TT"/>
    <d v="1899-12-30T15:10:00"/>
    <s v=" Lucas"/>
    <m/>
    <s v="Régimen Funcional de Arsenales - ING1 -  Lucas"/>
  </r>
  <r>
    <s v="1.º"/>
    <x v="13"/>
    <x v="5"/>
    <s v="Automotores"/>
    <s v="1er Llamado"/>
    <d v="2025-11-27T00:00:00"/>
    <s v="TM"/>
    <d v="1899-12-30T07:10:00"/>
    <s v=" Lucas"/>
    <m/>
    <s v="Régimen Funcional de Arsenales - ORU1 -  Lucas"/>
  </r>
  <r>
    <s v="1.º"/>
    <x v="13"/>
    <x v="5"/>
    <s v="Automotores"/>
    <s v="2do Llamado"/>
    <d v="2025-12-02T00:00:00"/>
    <s v="TT"/>
    <d v="1899-12-30T15:10:00"/>
    <s v=" Lucas"/>
    <m/>
    <s v="Régimen Funcional de Arsenales - ORU1 -  Lucas"/>
  </r>
  <r>
    <s v="1.º"/>
    <x v="6"/>
    <x v="4"/>
    <s v="Automotores"/>
    <s v="1er Llamado"/>
    <d v="2025-11-19T00:00:00"/>
    <s v="TM"/>
    <d v="1899-12-30T07:10:00"/>
    <s v=" Jonatan "/>
    <m/>
    <s v="Metrología y Representación Gráfica - ING1 -  Jonatan "/>
  </r>
  <r>
    <s v="1.º"/>
    <x v="6"/>
    <x v="4"/>
    <s v="Automotores"/>
    <s v="2do Llamado"/>
    <d v="2025-12-03T00:00:00"/>
    <s v="TM"/>
    <d v="1899-12-30T07:10:00"/>
    <s v=" Jonatan "/>
    <m/>
    <s v="Metrología y Representación Gráfica - ING1 -  Jonatan "/>
  </r>
  <r>
    <s v="1.º"/>
    <x v="6"/>
    <x v="5"/>
    <s v="Automotores"/>
    <s v="1er Llamado"/>
    <d v="2025-11-19T00:00:00"/>
    <s v="TM"/>
    <d v="1899-12-30T07:10:00"/>
    <s v=" Jonatan "/>
    <m/>
    <s v="Metrología y Representación Gráfica - ORU1 -  Jonatan "/>
  </r>
  <r>
    <s v="1.º"/>
    <x v="6"/>
    <x v="5"/>
    <s v="Automotores"/>
    <s v="2do Llamado"/>
    <d v="2025-12-03T00:00:00"/>
    <s v="TM"/>
    <d v="1899-12-30T07:10:00"/>
    <s v=" Jonatan "/>
    <m/>
    <s v="Metrología y Representación Gráfica - ORU1 -  Jonatan "/>
  </r>
  <r>
    <s v="1.º"/>
    <x v="40"/>
    <x v="7"/>
    <s v="Automotores"/>
    <s v="1er Llamado"/>
    <d v="2025-11-19T00:00:00"/>
    <s v="TM"/>
    <d v="1899-12-30T09:30:00"/>
    <s v=" Jonatan "/>
    <m/>
    <s v="Tecnologías de los Sistemas Eléctricos de Vehículos a Rueda I - RUE1 -  Jonatan "/>
  </r>
  <r>
    <s v="1.º"/>
    <x v="40"/>
    <x v="7"/>
    <s v="Automotores"/>
    <s v="2do Llamado"/>
    <d v="2025-12-10T00:00:00"/>
    <s v="TM"/>
    <d v="1899-12-30T09:30:00"/>
    <s v=" Jonatan "/>
    <m/>
    <s v="Tecnologías de los Sistemas Eléctricos de Vehículos a Rueda I - RUE1 -  Jonatan "/>
  </r>
  <r>
    <s v="1.º"/>
    <x v="0"/>
    <x v="8"/>
    <s v="Automotores"/>
    <s v="1er Llamado"/>
    <d v="2025-11-24T00:00:00"/>
    <s v="TM"/>
    <d v="1899-12-30T09:30:00"/>
    <s v=" Aracelli"/>
    <m/>
    <s v="Inglés I - CM2 -  Aracelli"/>
  </r>
  <r>
    <s v="1.º"/>
    <x v="0"/>
    <x v="8"/>
    <s v="Automotores"/>
    <s v="2do Llamado"/>
    <d v="2025-11-30T00:00:00"/>
    <s v="TM"/>
    <d v="1899-12-30T07:10:00"/>
    <s v=" Aracelli"/>
    <m/>
    <s v="Inglés I - CM2 -  Aracelli"/>
  </r>
  <r>
    <s v="2.º"/>
    <x v="1"/>
    <x v="9"/>
    <s v="Automotores"/>
    <s v="1er Llamado"/>
    <d v="2025-11-24T00:00:00"/>
    <s v="TM"/>
    <d v="1899-12-30T09:30:00"/>
    <s v=" Aracelli"/>
    <m/>
    <s v="Inglés II - RUE2 -  Aracelli"/>
  </r>
  <r>
    <s v="2.º"/>
    <x v="1"/>
    <x v="9"/>
    <s v="Automotores"/>
    <s v="2do Llamado"/>
    <d v="2025-11-30T00:00:00"/>
    <s v="TM"/>
    <d v="1899-12-30T09:30:00"/>
    <s v=" Aracelli"/>
    <m/>
    <s v="Inglés II - RUE2 -  Aracelli"/>
  </r>
  <r>
    <s v="2.º"/>
    <x v="1"/>
    <x v="9"/>
    <s v="Automotores"/>
    <s v="3er Llamado"/>
    <d v="2025-12-10T00:00:00"/>
    <s v="TT"/>
    <d v="1899-12-30T15:10:00"/>
    <s v=" Aracelli"/>
    <m/>
    <s v="Inglés II - RUE2 -  Aracel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O46" firstHeaderRow="1" firstDataRow="2" firstDataCol="1"/>
  <pivotFields count="11">
    <pivotField showAll="0"/>
    <pivotField axis="axisRow" dataField="1" showAll="0">
      <items count="43">
        <item x="0"/>
        <item x="1"/>
        <item x="6"/>
        <item x="2"/>
        <item x="13"/>
        <item x="10"/>
        <item x="5"/>
        <item x="36"/>
        <item x="27"/>
        <item x="30"/>
        <item x="14"/>
        <item x="33"/>
        <item x="22"/>
        <item x="37"/>
        <item x="7"/>
        <item x="23"/>
        <item x="19"/>
        <item x="28"/>
        <item x="38"/>
        <item x="11"/>
        <item x="31"/>
        <item x="16"/>
        <item x="25"/>
        <item x="17"/>
        <item x="24"/>
        <item x="20"/>
        <item x="3"/>
        <item x="8"/>
        <item x="26"/>
        <item x="39"/>
        <item x="29"/>
        <item x="35"/>
        <item x="40"/>
        <item x="18"/>
        <item x="15"/>
        <item x="34"/>
        <item x="21"/>
        <item x="12"/>
        <item x="9"/>
        <item x="32"/>
        <item x="4"/>
        <item m="1" x="41"/>
        <item t="default"/>
      </items>
    </pivotField>
    <pivotField axis="axisCol" showAll="0">
      <items count="40">
        <item m="1" x="17"/>
        <item m="1" x="15"/>
        <item m="1" x="16"/>
        <item m="1" x="25"/>
        <item m="1" x="22"/>
        <item m="1" x="24"/>
        <item m="1" x="26"/>
        <item m="1" x="28"/>
        <item m="1" x="30"/>
        <item m="1" x="33"/>
        <item m="1" x="35"/>
        <item m="1" x="27"/>
        <item m="1" x="29"/>
        <item m="1" x="31"/>
        <item m="1" x="32"/>
        <item m="1" x="34"/>
        <item m="1" x="36"/>
        <item m="1" x="38"/>
        <item m="1" x="13"/>
        <item m="1" x="14"/>
        <item m="1" x="18"/>
        <item m="1" x="19"/>
        <item m="1" x="20"/>
        <item m="1" x="23"/>
        <item m="1" x="21"/>
        <item m="1" x="37"/>
        <item x="5"/>
        <item x="4"/>
        <item x="6"/>
        <item x="7"/>
        <item x="0"/>
        <item x="8"/>
        <item x="2"/>
        <item x="10"/>
        <item x="12"/>
        <item x="11"/>
        <item x="9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2"/>
  </colFields>
  <colItems count="14"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colItems>
  <dataFields count="1">
    <dataField name="Control de Materia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do" displayName="Listado" ref="A1:K267" totalsRowShown="0" headerRowDxfId="12" dataDxfId="11">
  <autoFilter ref="A1:K267" xr:uid="{00000000-0009-0000-0100-000001000000}"/>
  <sortState xmlns:xlrd2="http://schemas.microsoft.com/office/spreadsheetml/2017/richdata2" ref="A2:K267">
    <sortCondition ref="I1:I267"/>
  </sortState>
  <tableColumns count="11">
    <tableColumn id="1" xr3:uid="{00000000-0010-0000-0000-000001000000}" name="Año" dataDxfId="10"/>
    <tableColumn id="2" xr3:uid="{00000000-0010-0000-0000-000002000000}" name="Materia" dataDxfId="9"/>
    <tableColumn id="3" xr3:uid="{00000000-0010-0000-0000-000003000000}" name="Aula" dataDxfId="8"/>
    <tableColumn id="4" xr3:uid="{00000000-0010-0000-0000-000004000000}" name="Orientación" dataDxfId="7"/>
    <tableColumn id="5" xr3:uid="{00000000-0010-0000-0000-000005000000}" name="Llamado" dataDxfId="6"/>
    <tableColumn id="6" xr3:uid="{00000000-0010-0000-0000-000006000000}" name="Fecha" dataDxfId="5"/>
    <tableColumn id="7" xr3:uid="{00000000-0010-0000-0000-000007000000}" name="Turno" dataDxfId="4"/>
    <tableColumn id="8" xr3:uid="{00000000-0010-0000-0000-000008000000}" name="Hora" dataDxfId="3"/>
    <tableColumn id="9" xr3:uid="{00000000-0010-0000-0000-000009000000}" name="Docente Titular" dataDxfId="2"/>
    <tableColumn id="10" xr3:uid="{00000000-0010-0000-0000-00000A000000}" name="Observaciones" dataDxfId="1"/>
    <tableColumn id="11" xr3:uid="{00000000-0010-0000-0000-00000B000000}" name="Resumen" dataDxfId="0">
      <calculatedColumnFormula>B2&amp;" - "&amp;C2&amp;" - "&amp;I2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0F46EF-574E-418F-B8D9-3E5BB9C57E15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cLWaOS-0LRON8DGZaAMU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1"/>
  <sheetViews>
    <sheetView workbookViewId="0">
      <selection activeCell="H16" sqref="H16"/>
    </sheetView>
  </sheetViews>
  <sheetFormatPr baseColWidth="10" defaultColWidth="12.44140625" defaultRowHeight="15.75" customHeight="1"/>
  <cols>
    <col min="1" max="1" width="58.44140625" customWidth="1"/>
    <col min="2" max="2" width="16.44140625" customWidth="1"/>
    <col min="3" max="3" width="14.44140625" customWidth="1"/>
    <col min="4" max="5" width="12.44140625" customWidth="1"/>
  </cols>
  <sheetData>
    <row r="1" spans="1:7" ht="13.2">
      <c r="A1" s="12" t="s">
        <v>2</v>
      </c>
      <c r="B1" s="12" t="s">
        <v>4</v>
      </c>
      <c r="C1" s="12" t="s">
        <v>16</v>
      </c>
      <c r="D1" s="12" t="s">
        <v>22</v>
      </c>
      <c r="E1" s="6">
        <v>0.2986111111111111</v>
      </c>
      <c r="F1" s="4">
        <v>45980</v>
      </c>
    </row>
    <row r="2" spans="1:7" ht="13.2">
      <c r="A2" s="12" t="s">
        <v>27</v>
      </c>
      <c r="B2" s="12" t="s">
        <v>34</v>
      </c>
      <c r="C2" s="12" t="s">
        <v>17</v>
      </c>
      <c r="D2" s="12" t="s">
        <v>70</v>
      </c>
      <c r="E2" s="9">
        <v>0.3263888888888889</v>
      </c>
      <c r="F2" s="4">
        <v>45981</v>
      </c>
      <c r="G2" s="14"/>
    </row>
    <row r="3" spans="1:7" ht="13.2">
      <c r="A3" s="12" t="s">
        <v>28</v>
      </c>
      <c r="B3" s="12" t="s">
        <v>35</v>
      </c>
      <c r="C3" s="12" t="s">
        <v>71</v>
      </c>
      <c r="D3" s="12" t="s">
        <v>23</v>
      </c>
      <c r="E3" s="9">
        <v>0.36805555555555558</v>
      </c>
      <c r="F3" s="4">
        <v>45985</v>
      </c>
      <c r="G3" s="14"/>
    </row>
    <row r="4" spans="1:7" ht="13.2">
      <c r="A4" s="12" t="s">
        <v>29</v>
      </c>
      <c r="B4" s="12" t="s">
        <v>46</v>
      </c>
      <c r="C4" s="12" t="s">
        <v>18</v>
      </c>
      <c r="D4" s="12" t="s">
        <v>24</v>
      </c>
      <c r="E4" s="9">
        <v>0.39583333333333331</v>
      </c>
      <c r="F4" s="4">
        <v>45986</v>
      </c>
    </row>
    <row r="5" spans="1:7" ht="13.2">
      <c r="A5" s="12" t="s">
        <v>30</v>
      </c>
      <c r="B5" s="12" t="s">
        <v>47</v>
      </c>
      <c r="C5" s="12" t="s">
        <v>19</v>
      </c>
      <c r="D5" s="12" t="s">
        <v>25</v>
      </c>
      <c r="E5" s="9">
        <v>0.4375</v>
      </c>
      <c r="F5" s="4">
        <v>45987</v>
      </c>
    </row>
    <row r="6" spans="1:7" ht="13.2">
      <c r="A6" s="12" t="s">
        <v>31</v>
      </c>
      <c r="B6" s="12" t="s">
        <v>48</v>
      </c>
      <c r="C6" s="12" t="s">
        <v>20</v>
      </c>
      <c r="D6" s="12" t="s">
        <v>26</v>
      </c>
      <c r="E6" s="9">
        <v>0.46527777777777779</v>
      </c>
      <c r="F6" s="8">
        <v>45988</v>
      </c>
    </row>
    <row r="7" spans="1:7" ht="13.2">
      <c r="A7" s="12" t="s">
        <v>32</v>
      </c>
      <c r="B7" s="12" t="s">
        <v>49</v>
      </c>
      <c r="C7" s="12" t="s">
        <v>21</v>
      </c>
      <c r="D7" s="1"/>
      <c r="E7" s="1"/>
      <c r="F7" s="8">
        <v>45991</v>
      </c>
    </row>
    <row r="8" spans="1:7" ht="13.2">
      <c r="A8" s="12" t="s">
        <v>33</v>
      </c>
      <c r="B8" s="12" t="s">
        <v>50</v>
      </c>
      <c r="C8" s="1"/>
      <c r="D8" s="1"/>
      <c r="E8" s="9">
        <v>0.63194444444444442</v>
      </c>
      <c r="F8" s="8">
        <v>45992</v>
      </c>
    </row>
    <row r="9" spans="1:7" ht="13.2">
      <c r="A9" s="12" t="s">
        <v>36</v>
      </c>
      <c r="B9" s="12" t="s">
        <v>51</v>
      </c>
      <c r="C9" s="1"/>
      <c r="D9" s="1"/>
      <c r="E9" s="9">
        <v>0.65972222222222221</v>
      </c>
      <c r="F9" s="8">
        <v>45993</v>
      </c>
    </row>
    <row r="10" spans="1:7" ht="13.2">
      <c r="A10" s="12" t="s">
        <v>37</v>
      </c>
      <c r="B10" s="12" t="s">
        <v>52</v>
      </c>
      <c r="C10" s="1"/>
      <c r="D10" s="1"/>
      <c r="E10" s="9">
        <v>0.70138888888888884</v>
      </c>
      <c r="F10" s="8">
        <v>45994</v>
      </c>
    </row>
    <row r="11" spans="1:7" ht="13.2">
      <c r="A11" s="12" t="s">
        <v>38</v>
      </c>
      <c r="B11" s="12" t="s">
        <v>53</v>
      </c>
      <c r="C11" s="1"/>
      <c r="D11" s="1"/>
      <c r="E11" s="9">
        <v>0.72916666666666663</v>
      </c>
      <c r="F11" s="8">
        <v>45995</v>
      </c>
    </row>
    <row r="12" spans="1:7" ht="13.2">
      <c r="A12" s="12" t="s">
        <v>39</v>
      </c>
      <c r="B12" s="12" t="s">
        <v>54</v>
      </c>
      <c r="C12" s="1"/>
      <c r="D12" s="1"/>
      <c r="E12" s="9">
        <v>0.77083333333333337</v>
      </c>
      <c r="F12" s="8">
        <v>46000</v>
      </c>
    </row>
    <row r="13" spans="1:7" ht="13.2">
      <c r="A13" s="12" t="s">
        <v>40</v>
      </c>
      <c r="B13" s="12" t="s">
        <v>55</v>
      </c>
      <c r="D13" s="1"/>
      <c r="F13" s="8">
        <v>46001</v>
      </c>
    </row>
    <row r="14" spans="1:7" ht="13.2">
      <c r="A14" s="12" t="s">
        <v>41</v>
      </c>
      <c r="B14" s="12" t="s">
        <v>56</v>
      </c>
      <c r="D14" s="1"/>
      <c r="F14" s="8">
        <v>46002</v>
      </c>
    </row>
    <row r="15" spans="1:7" ht="13.2">
      <c r="A15" s="12" t="s">
        <v>42</v>
      </c>
      <c r="B15" s="12" t="s">
        <v>57</v>
      </c>
      <c r="D15" s="1"/>
      <c r="F15" s="8"/>
    </row>
    <row r="16" spans="1:7" ht="15.75" customHeight="1">
      <c r="A16" s="12" t="s">
        <v>43</v>
      </c>
      <c r="B16" s="12" t="s">
        <v>58</v>
      </c>
      <c r="F16" s="8"/>
    </row>
    <row r="17" spans="1:6" ht="15.75" customHeight="1">
      <c r="A17" s="12" t="s">
        <v>44</v>
      </c>
      <c r="B17" s="12" t="s">
        <v>59</v>
      </c>
      <c r="F17" s="8"/>
    </row>
    <row r="18" spans="1:6" ht="15.75" customHeight="1">
      <c r="A18" s="12" t="s">
        <v>45</v>
      </c>
      <c r="B18" s="12" t="s">
        <v>60</v>
      </c>
      <c r="F18" s="8"/>
    </row>
    <row r="19" spans="1:6" ht="15.75" customHeight="1">
      <c r="B19" s="12" t="s">
        <v>61</v>
      </c>
      <c r="F19" s="8"/>
    </row>
    <row r="20" spans="1:6" ht="15.75" customHeight="1">
      <c r="B20" s="12" t="s">
        <v>62</v>
      </c>
      <c r="F20" s="8"/>
    </row>
    <row r="21" spans="1:6" ht="15.75" customHeight="1">
      <c r="B21" s="12" t="s">
        <v>63</v>
      </c>
      <c r="F21" s="8"/>
    </row>
    <row r="22" spans="1:6" ht="15.75" customHeight="1">
      <c r="B22" s="12" t="s">
        <v>64</v>
      </c>
      <c r="F22" s="8"/>
    </row>
    <row r="23" spans="1:6" ht="15.75" customHeight="1">
      <c r="B23" s="12" t="s">
        <v>65</v>
      </c>
      <c r="F23" s="8"/>
    </row>
    <row r="24" spans="1:6" ht="15.75" customHeight="1">
      <c r="F24" s="8"/>
    </row>
    <row r="28" spans="1:6" ht="15.75" customHeight="1">
      <c r="B28" s="14"/>
    </row>
    <row r="30" spans="1:6" ht="15.75" customHeight="1">
      <c r="B30" s="14"/>
    </row>
    <row r="32" spans="1:6" ht="15.75" customHeight="1">
      <c r="B32" s="14"/>
    </row>
    <row r="33" spans="2:2" ht="15.75" customHeight="1">
      <c r="B33" s="14"/>
    </row>
    <row r="34" spans="2:2" ht="15.75" customHeight="1">
      <c r="B34" s="14"/>
    </row>
    <row r="35" spans="2:2" ht="15.75" customHeight="1">
      <c r="B35" s="14"/>
    </row>
    <row r="37" spans="2:2" ht="15.75" customHeight="1">
      <c r="B37" s="14"/>
    </row>
    <row r="40" spans="2:2" ht="15.75" customHeight="1">
      <c r="B40" s="14"/>
    </row>
    <row r="41" spans="2:2" ht="15.75" customHeight="1">
      <c r="B41" s="14"/>
    </row>
    <row r="42" spans="2:2" ht="15.75" customHeight="1">
      <c r="B42" s="14"/>
    </row>
    <row r="43" spans="2:2" ht="15.75" customHeight="1">
      <c r="B43" s="14"/>
    </row>
    <row r="44" spans="2:2" ht="15.75" customHeight="1">
      <c r="B44" s="14"/>
    </row>
    <row r="45" spans="2:2" ht="15.75" customHeight="1">
      <c r="B45" s="14"/>
    </row>
    <row r="46" spans="2:2" ht="15.75" customHeight="1">
      <c r="B46" s="14"/>
    </row>
    <row r="47" spans="2:2" ht="15.75" customHeight="1">
      <c r="B47" s="14"/>
    </row>
    <row r="49" spans="2:2" ht="15.75" customHeight="1">
      <c r="B49" s="14"/>
    </row>
    <row r="50" spans="2:2" ht="15.75" customHeight="1">
      <c r="B50" s="14"/>
    </row>
    <row r="51" spans="2:2" ht="15.75" customHeight="1">
      <c r="B51" s="14"/>
    </row>
    <row r="61" spans="2:2" ht="15.75" customHeight="1">
      <c r="B61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67"/>
  <sheetViews>
    <sheetView topLeftCell="B1" workbookViewId="0">
      <pane ySplit="1" topLeftCell="A2" activePane="bottomLeft" state="frozen"/>
      <selection activeCell="B3" sqref="B3"/>
      <selection pane="bottomLeft" activeCell="C3" sqref="C3"/>
    </sheetView>
  </sheetViews>
  <sheetFormatPr baseColWidth="10" defaultColWidth="12.44140625" defaultRowHeight="15.75" customHeight="1"/>
  <cols>
    <col min="1" max="1" width="8" style="16" customWidth="1"/>
    <col min="2" max="2" width="49.44140625" customWidth="1"/>
    <col min="3" max="3" width="14.44140625" style="16" customWidth="1"/>
    <col min="4" max="4" width="26.44140625" bestFit="1" customWidth="1"/>
    <col min="5" max="5" width="15.109375" customWidth="1"/>
    <col min="6" max="6" width="11.44140625" style="8" customWidth="1"/>
    <col min="7" max="7" width="8.109375" style="16" customWidth="1"/>
    <col min="8" max="8" width="9.6640625" bestFit="1" customWidth="1"/>
    <col min="9" max="9" width="28.109375" bestFit="1" customWidth="1"/>
    <col min="10" max="10" width="25.109375" customWidth="1"/>
    <col min="11" max="11" width="51.6640625" customWidth="1"/>
  </cols>
  <sheetData>
    <row r="1" spans="1:11" ht="13.2">
      <c r="A1" s="2" t="s">
        <v>0</v>
      </c>
      <c r="B1" s="2" t="s">
        <v>1</v>
      </c>
      <c r="C1" s="2" t="s">
        <v>3</v>
      </c>
      <c r="D1" s="2" t="s">
        <v>5</v>
      </c>
      <c r="E1" s="2" t="s">
        <v>6</v>
      </c>
      <c r="F1" s="19" t="s">
        <v>7</v>
      </c>
      <c r="G1" s="2" t="s">
        <v>8</v>
      </c>
      <c r="H1" s="2" t="s">
        <v>9</v>
      </c>
      <c r="I1" s="2" t="s">
        <v>109</v>
      </c>
      <c r="J1" s="2" t="s">
        <v>10</v>
      </c>
      <c r="K1" s="2" t="s">
        <v>11</v>
      </c>
    </row>
    <row r="2" spans="1:11" ht="13.2">
      <c r="A2" s="15" t="s">
        <v>72</v>
      </c>
      <c r="B2" s="3" t="s">
        <v>2</v>
      </c>
      <c r="C2" s="15" t="s">
        <v>19</v>
      </c>
      <c r="D2" s="3" t="s">
        <v>76</v>
      </c>
      <c r="E2" s="13" t="s">
        <v>73</v>
      </c>
      <c r="F2" s="5">
        <v>45986</v>
      </c>
      <c r="G2" s="15" t="s">
        <v>75</v>
      </c>
      <c r="H2" s="7">
        <v>0.63194444444444442</v>
      </c>
      <c r="I2" s="3" t="s">
        <v>81</v>
      </c>
      <c r="J2" s="3"/>
      <c r="K2" t="str">
        <f t="shared" ref="K2:K65" si="0">B2&amp;" - "&amp;C2&amp;" - "&amp;I2</f>
        <v>Inglés I - CM1 -  Sergio</v>
      </c>
    </row>
    <row r="3" spans="1:11" ht="15.75" customHeight="1">
      <c r="A3" s="15" t="s">
        <v>72</v>
      </c>
      <c r="B3" s="3" t="s">
        <v>2</v>
      </c>
      <c r="C3" s="15" t="s">
        <v>19</v>
      </c>
      <c r="D3" s="3" t="s">
        <v>76</v>
      </c>
      <c r="E3" s="3" t="s">
        <v>77</v>
      </c>
      <c r="F3" s="5">
        <v>46000</v>
      </c>
      <c r="G3" s="15" t="s">
        <v>75</v>
      </c>
      <c r="H3" s="7">
        <v>0.63194444444444442</v>
      </c>
      <c r="I3" s="3" t="s">
        <v>81</v>
      </c>
      <c r="J3" s="3"/>
      <c r="K3" t="str">
        <f t="shared" si="0"/>
        <v>Inglés I - CM1 -  Sergio</v>
      </c>
    </row>
    <row r="4" spans="1:11" ht="15.75" customHeight="1">
      <c r="A4" s="15" t="s">
        <v>78</v>
      </c>
      <c r="B4" s="3" t="s">
        <v>4</v>
      </c>
      <c r="C4" s="15" t="s">
        <v>25</v>
      </c>
      <c r="D4" s="3" t="s">
        <v>76</v>
      </c>
      <c r="E4" s="3" t="s">
        <v>73</v>
      </c>
      <c r="F4" s="5">
        <v>45985</v>
      </c>
      <c r="G4" s="15" t="s">
        <v>74</v>
      </c>
      <c r="H4" s="7">
        <v>0.39583333333333331</v>
      </c>
      <c r="I4" s="3" t="s">
        <v>81</v>
      </c>
      <c r="J4" s="3"/>
      <c r="K4" t="str">
        <f t="shared" si="0"/>
        <v>Inglés II - CM4 -  Sergio</v>
      </c>
    </row>
    <row r="5" spans="1:11" ht="15.75" customHeight="1">
      <c r="A5" s="17" t="s">
        <v>78</v>
      </c>
      <c r="B5" s="13" t="s">
        <v>4</v>
      </c>
      <c r="C5" s="17" t="s">
        <v>25</v>
      </c>
      <c r="D5" s="13" t="s">
        <v>76</v>
      </c>
      <c r="E5" s="13" t="s">
        <v>77</v>
      </c>
      <c r="F5" s="20">
        <v>45993</v>
      </c>
      <c r="G5" s="17" t="s">
        <v>75</v>
      </c>
      <c r="H5" s="18">
        <v>0.72916666666666663</v>
      </c>
      <c r="I5" s="13" t="s">
        <v>81</v>
      </c>
      <c r="J5" s="13"/>
      <c r="K5" t="str">
        <f t="shared" si="0"/>
        <v>Inglés II - CM4 -  Sergio</v>
      </c>
    </row>
    <row r="6" spans="1:11" ht="15.75" customHeight="1">
      <c r="A6" s="17" t="s">
        <v>78</v>
      </c>
      <c r="B6" s="13" t="s">
        <v>4</v>
      </c>
      <c r="C6" s="17" t="s">
        <v>25</v>
      </c>
      <c r="D6" s="13" t="s">
        <v>76</v>
      </c>
      <c r="E6" s="13" t="s">
        <v>79</v>
      </c>
      <c r="F6" s="20">
        <v>46000</v>
      </c>
      <c r="G6" s="17" t="s">
        <v>75</v>
      </c>
      <c r="H6" s="18">
        <v>0.72916666666666663</v>
      </c>
      <c r="I6" s="13" t="s">
        <v>81</v>
      </c>
      <c r="J6" s="13"/>
      <c r="K6" t="str">
        <f t="shared" si="0"/>
        <v>Inglés II - CM4 -  Sergio</v>
      </c>
    </row>
    <row r="7" spans="1:11" ht="21.45" customHeight="1">
      <c r="A7" s="15" t="s">
        <v>72</v>
      </c>
      <c r="B7" s="3" t="s">
        <v>33</v>
      </c>
      <c r="C7" s="15" t="s">
        <v>21</v>
      </c>
      <c r="D7" s="3" t="s">
        <v>76</v>
      </c>
      <c r="E7" s="13" t="s">
        <v>73</v>
      </c>
      <c r="F7" s="5">
        <v>45980</v>
      </c>
      <c r="G7" s="15" t="s">
        <v>74</v>
      </c>
      <c r="H7" s="7">
        <v>0.39583333333333331</v>
      </c>
      <c r="I7" s="3" t="s">
        <v>82</v>
      </c>
      <c r="J7" s="3"/>
      <c r="K7" t="str">
        <f t="shared" si="0"/>
        <v>Procesos Mecánicos - CM3 -  José María</v>
      </c>
    </row>
    <row r="8" spans="1:11" ht="15.75" customHeight="1">
      <c r="A8" s="15" t="s">
        <v>72</v>
      </c>
      <c r="B8" s="3" t="s">
        <v>33</v>
      </c>
      <c r="C8" s="15" t="s">
        <v>21</v>
      </c>
      <c r="D8" s="3" t="s">
        <v>76</v>
      </c>
      <c r="E8" s="3" t="s">
        <v>77</v>
      </c>
      <c r="F8" s="5">
        <v>46001</v>
      </c>
      <c r="G8" s="15" t="s">
        <v>74</v>
      </c>
      <c r="H8" s="7">
        <v>0.39583333333333331</v>
      </c>
      <c r="I8" s="3" t="s">
        <v>82</v>
      </c>
      <c r="J8" s="3"/>
      <c r="K8" t="str">
        <f t="shared" si="0"/>
        <v>Procesos Mecánicos - CM3 -  José María</v>
      </c>
    </row>
    <row r="9" spans="1:11" ht="15.75" customHeight="1">
      <c r="A9" s="15" t="s">
        <v>78</v>
      </c>
      <c r="B9" s="3" t="s">
        <v>60</v>
      </c>
      <c r="C9" s="15" t="s">
        <v>25</v>
      </c>
      <c r="D9" s="3" t="s">
        <v>76</v>
      </c>
      <c r="E9" s="3" t="s">
        <v>73</v>
      </c>
      <c r="F9" s="5">
        <v>45986</v>
      </c>
      <c r="G9" s="15" t="s">
        <v>74</v>
      </c>
      <c r="H9" s="7">
        <v>0.2986111111111111</v>
      </c>
      <c r="I9" s="3" t="s">
        <v>82</v>
      </c>
      <c r="J9" s="3"/>
      <c r="K9" t="str">
        <f t="shared" si="0"/>
        <v>Técnicas y Metodologías de Operación en Vehículos - CM4 -  José María</v>
      </c>
    </row>
    <row r="10" spans="1:11" ht="22.5" customHeight="1">
      <c r="A10" s="17" t="s">
        <v>78</v>
      </c>
      <c r="B10" s="13" t="s">
        <v>60</v>
      </c>
      <c r="C10" s="17" t="s">
        <v>25</v>
      </c>
      <c r="D10" s="13" t="s">
        <v>76</v>
      </c>
      <c r="E10" s="13" t="s">
        <v>77</v>
      </c>
      <c r="F10" s="20">
        <v>45992</v>
      </c>
      <c r="G10" s="17" t="s">
        <v>74</v>
      </c>
      <c r="H10" s="7">
        <v>0.2986111111111111</v>
      </c>
      <c r="I10" s="13" t="s">
        <v>82</v>
      </c>
      <c r="J10" s="13"/>
      <c r="K10" t="str">
        <f t="shared" si="0"/>
        <v>Técnicas y Metodologías de Operación en Vehículos - CM4 -  José María</v>
      </c>
    </row>
    <row r="11" spans="1:11" ht="15.75" customHeight="1">
      <c r="A11" s="17" t="s">
        <v>78</v>
      </c>
      <c r="B11" s="13" t="s">
        <v>60</v>
      </c>
      <c r="C11" s="17" t="s">
        <v>25</v>
      </c>
      <c r="D11" s="13" t="s">
        <v>76</v>
      </c>
      <c r="E11" s="13" t="s">
        <v>79</v>
      </c>
      <c r="F11" s="20">
        <v>46000</v>
      </c>
      <c r="G11" s="17" t="s">
        <v>74</v>
      </c>
      <c r="H11" s="7">
        <v>0.2986111111111111</v>
      </c>
      <c r="I11" s="13" t="s">
        <v>82</v>
      </c>
      <c r="J11" s="13"/>
      <c r="K11" t="str">
        <f t="shared" si="0"/>
        <v>Técnicas y Metodologías de Operación en Vehículos - CM4 -  José María</v>
      </c>
    </row>
    <row r="12" spans="1:11" ht="15" customHeight="1">
      <c r="A12" s="17" t="s">
        <v>78</v>
      </c>
      <c r="B12" s="13" t="s">
        <v>65</v>
      </c>
      <c r="C12" s="17" t="s">
        <v>26</v>
      </c>
      <c r="D12" s="13" t="s">
        <v>76</v>
      </c>
      <c r="E12" s="13" t="s">
        <v>73</v>
      </c>
      <c r="F12" s="20">
        <v>45980</v>
      </c>
      <c r="G12" s="17" t="s">
        <v>74</v>
      </c>
      <c r="H12" s="7">
        <v>0.2986111111111111</v>
      </c>
      <c r="I12" s="13" t="s">
        <v>82</v>
      </c>
      <c r="J12" s="13"/>
      <c r="K12" t="str">
        <f t="shared" si="0"/>
        <v>Transporte, Logística y Abastecimiento II - CM5 -  José María</v>
      </c>
    </row>
    <row r="13" spans="1:11" ht="15.75" customHeight="1">
      <c r="A13" s="17" t="s">
        <v>78</v>
      </c>
      <c r="B13" s="13" t="s">
        <v>65</v>
      </c>
      <c r="C13" s="17" t="s">
        <v>26</v>
      </c>
      <c r="D13" s="13" t="s">
        <v>76</v>
      </c>
      <c r="E13" s="13" t="s">
        <v>77</v>
      </c>
      <c r="F13" s="20">
        <v>45994</v>
      </c>
      <c r="G13" s="17" t="s">
        <v>74</v>
      </c>
      <c r="H13" s="7">
        <v>0.2986111111111111</v>
      </c>
      <c r="I13" s="13" t="s">
        <v>82</v>
      </c>
      <c r="J13" s="13"/>
      <c r="K13" t="str">
        <f t="shared" si="0"/>
        <v>Transporte, Logística y Abastecimiento II - CM5 -  José María</v>
      </c>
    </row>
    <row r="14" spans="1:11" ht="25.95" customHeight="1">
      <c r="A14" s="17" t="s">
        <v>78</v>
      </c>
      <c r="B14" s="13" t="s">
        <v>65</v>
      </c>
      <c r="C14" s="17" t="s">
        <v>26</v>
      </c>
      <c r="D14" s="13" t="s">
        <v>76</v>
      </c>
      <c r="E14" s="13" t="s">
        <v>79</v>
      </c>
      <c r="F14" s="20">
        <v>46001</v>
      </c>
      <c r="G14" s="17" t="s">
        <v>74</v>
      </c>
      <c r="H14" s="7">
        <v>0.2986111111111111</v>
      </c>
      <c r="I14" s="13" t="s">
        <v>82</v>
      </c>
      <c r="J14" s="13"/>
      <c r="K14" t="str">
        <f t="shared" si="0"/>
        <v>Transporte, Logística y Abastecimiento II - CM5 -  José María</v>
      </c>
    </row>
    <row r="15" spans="1:11" ht="15.75" customHeight="1">
      <c r="A15" s="15" t="s">
        <v>72</v>
      </c>
      <c r="B15" s="3" t="s">
        <v>28</v>
      </c>
      <c r="C15" s="15" t="s">
        <v>19</v>
      </c>
      <c r="D15" s="3" t="s">
        <v>76</v>
      </c>
      <c r="E15" s="13" t="s">
        <v>73</v>
      </c>
      <c r="F15" s="5">
        <v>45986</v>
      </c>
      <c r="G15" s="15" t="s">
        <v>74</v>
      </c>
      <c r="H15" s="7">
        <v>0.39583333333333331</v>
      </c>
      <c r="I15" s="3" t="s">
        <v>83</v>
      </c>
      <c r="J15" s="3"/>
      <c r="K15" t="str">
        <f t="shared" si="0"/>
        <v xml:space="preserve">Seguridad e Higiene en el Trabajo - CM1 -  Daniela Alejandra </v>
      </c>
    </row>
    <row r="16" spans="1:11" ht="15.75" customHeight="1">
      <c r="A16" s="15" t="s">
        <v>72</v>
      </c>
      <c r="B16" s="3" t="s">
        <v>28</v>
      </c>
      <c r="C16" s="15" t="s">
        <v>21</v>
      </c>
      <c r="D16" s="3" t="s">
        <v>76</v>
      </c>
      <c r="E16" s="13" t="s">
        <v>73</v>
      </c>
      <c r="F16" s="5">
        <v>45985</v>
      </c>
      <c r="G16" s="15" t="s">
        <v>74</v>
      </c>
      <c r="H16" s="7">
        <v>0.2986111111111111</v>
      </c>
      <c r="I16" s="3" t="s">
        <v>83</v>
      </c>
      <c r="J16" s="3"/>
      <c r="K16" t="str">
        <f t="shared" si="0"/>
        <v xml:space="preserve">Seguridad e Higiene en el Trabajo - CM3 -  Daniela Alejandra </v>
      </c>
    </row>
    <row r="17" spans="1:11" ht="15.75" customHeight="1">
      <c r="A17" s="15" t="s">
        <v>72</v>
      </c>
      <c r="B17" s="3" t="s">
        <v>28</v>
      </c>
      <c r="C17" s="15" t="s">
        <v>19</v>
      </c>
      <c r="D17" s="3" t="s">
        <v>76</v>
      </c>
      <c r="E17" s="3" t="s">
        <v>77</v>
      </c>
      <c r="F17" s="5">
        <v>46000</v>
      </c>
      <c r="G17" s="15" t="s">
        <v>74</v>
      </c>
      <c r="H17" s="7">
        <v>0.39583333333333331</v>
      </c>
      <c r="I17" s="3" t="s">
        <v>83</v>
      </c>
      <c r="J17" s="3"/>
      <c r="K17" t="str">
        <f t="shared" si="0"/>
        <v xml:space="preserve">Seguridad e Higiene en el Trabajo - CM1 -  Daniela Alejandra </v>
      </c>
    </row>
    <row r="18" spans="1:11" ht="15.75" customHeight="1">
      <c r="A18" s="15" t="s">
        <v>72</v>
      </c>
      <c r="B18" s="3" t="s">
        <v>28</v>
      </c>
      <c r="C18" s="15" t="s">
        <v>21</v>
      </c>
      <c r="D18" s="3" t="s">
        <v>76</v>
      </c>
      <c r="E18" s="3" t="s">
        <v>77</v>
      </c>
      <c r="F18" s="5">
        <v>45992</v>
      </c>
      <c r="G18" s="15" t="s">
        <v>74</v>
      </c>
      <c r="H18" s="7">
        <v>0.2986111111111111</v>
      </c>
      <c r="I18" s="3" t="s">
        <v>83</v>
      </c>
      <c r="J18" s="3"/>
      <c r="K18" t="str">
        <f t="shared" si="0"/>
        <v xml:space="preserve">Seguridad e Higiene en el Trabajo - CM3 -  Daniela Alejandra </v>
      </c>
    </row>
    <row r="19" spans="1:11" ht="15.75" customHeight="1">
      <c r="A19" s="15" t="s">
        <v>72</v>
      </c>
      <c r="B19" s="3" t="s">
        <v>28</v>
      </c>
      <c r="C19" s="15" t="s">
        <v>17</v>
      </c>
      <c r="D19" s="3" t="s">
        <v>69</v>
      </c>
      <c r="E19" s="13" t="s">
        <v>73</v>
      </c>
      <c r="F19" s="5">
        <v>45986</v>
      </c>
      <c r="G19" s="15" t="s">
        <v>74</v>
      </c>
      <c r="H19" s="7">
        <v>0.2986111111111111</v>
      </c>
      <c r="I19" s="13" t="s">
        <v>83</v>
      </c>
      <c r="J19" s="3"/>
      <c r="K19" t="str">
        <f t="shared" si="0"/>
        <v xml:space="preserve">Seguridad e Higiene en el Trabajo - ING1 -  Daniela Alejandra </v>
      </c>
    </row>
    <row r="20" spans="1:11" ht="15.75" customHeight="1">
      <c r="A20" s="15" t="s">
        <v>72</v>
      </c>
      <c r="B20" s="3" t="s">
        <v>28</v>
      </c>
      <c r="C20" s="15" t="s">
        <v>17</v>
      </c>
      <c r="D20" s="3" t="s">
        <v>69</v>
      </c>
      <c r="E20" s="3" t="s">
        <v>77</v>
      </c>
      <c r="F20" s="5">
        <v>46000</v>
      </c>
      <c r="G20" s="15" t="s">
        <v>74</v>
      </c>
      <c r="H20" s="7">
        <v>0.39583333333333331</v>
      </c>
      <c r="I20" s="3" t="s">
        <v>83</v>
      </c>
      <c r="J20" s="3"/>
      <c r="K20" t="str">
        <f t="shared" si="0"/>
        <v xml:space="preserve">Seguridad e Higiene en el Trabajo - ING1 -  Daniela Alejandra </v>
      </c>
    </row>
    <row r="21" spans="1:11" ht="15.75" customHeight="1">
      <c r="A21" s="15" t="s">
        <v>72</v>
      </c>
      <c r="B21" s="3" t="s">
        <v>28</v>
      </c>
      <c r="C21" s="15" t="s">
        <v>16</v>
      </c>
      <c r="D21" s="3" t="s">
        <v>67</v>
      </c>
      <c r="E21" s="13" t="s">
        <v>73</v>
      </c>
      <c r="F21" s="5">
        <v>45986</v>
      </c>
      <c r="G21" s="15" t="s">
        <v>74</v>
      </c>
      <c r="H21" s="7">
        <v>0.2986111111111111</v>
      </c>
      <c r="I21" s="13" t="s">
        <v>83</v>
      </c>
      <c r="J21" s="3"/>
      <c r="K21" t="str">
        <f t="shared" si="0"/>
        <v xml:space="preserve">Seguridad e Higiene en el Trabajo - ORU1 -  Daniela Alejandra </v>
      </c>
    </row>
    <row r="22" spans="1:11" ht="15.75" customHeight="1">
      <c r="A22" s="15" t="s">
        <v>72</v>
      </c>
      <c r="B22" s="3" t="s">
        <v>28</v>
      </c>
      <c r="C22" s="15" t="s">
        <v>16</v>
      </c>
      <c r="D22" s="3" t="s">
        <v>67</v>
      </c>
      <c r="E22" s="3" t="s">
        <v>77</v>
      </c>
      <c r="F22" s="5">
        <v>46000</v>
      </c>
      <c r="G22" s="15" t="s">
        <v>74</v>
      </c>
      <c r="H22" s="7">
        <v>0.39583333333333331</v>
      </c>
      <c r="I22" s="3" t="s">
        <v>83</v>
      </c>
      <c r="J22" s="3"/>
      <c r="K22" t="str">
        <f t="shared" si="0"/>
        <v xml:space="preserve">Seguridad e Higiene en el Trabajo - ORU1 -  Daniela Alejandra </v>
      </c>
    </row>
    <row r="23" spans="1:11" ht="15.75" customHeight="1">
      <c r="A23" s="15" t="s">
        <v>72</v>
      </c>
      <c r="B23" s="3" t="s">
        <v>28</v>
      </c>
      <c r="C23" s="15" t="s">
        <v>71</v>
      </c>
      <c r="D23" s="3" t="s">
        <v>68</v>
      </c>
      <c r="E23" s="13" t="s">
        <v>73</v>
      </c>
      <c r="F23" s="5">
        <v>45985</v>
      </c>
      <c r="G23" s="15" t="s">
        <v>74</v>
      </c>
      <c r="H23" s="7">
        <v>0.39583333333333331</v>
      </c>
      <c r="I23" s="13" t="s">
        <v>83</v>
      </c>
      <c r="J23" s="3"/>
      <c r="K23" t="str">
        <f t="shared" si="0"/>
        <v xml:space="preserve">Seguridad e Higiene en el Trabajo - ELEC1 -  Daniela Alejandra </v>
      </c>
    </row>
    <row r="24" spans="1:11" ht="15.75" customHeight="1">
      <c r="A24" s="15" t="s">
        <v>72</v>
      </c>
      <c r="B24" s="3" t="s">
        <v>28</v>
      </c>
      <c r="C24" s="15" t="s">
        <v>71</v>
      </c>
      <c r="D24" s="3" t="s">
        <v>68</v>
      </c>
      <c r="E24" s="3" t="s">
        <v>77</v>
      </c>
      <c r="F24" s="5">
        <v>45992</v>
      </c>
      <c r="G24" s="15" t="s">
        <v>74</v>
      </c>
      <c r="H24" s="7">
        <v>0.39583333333333331</v>
      </c>
      <c r="I24" s="3" t="s">
        <v>83</v>
      </c>
      <c r="J24" s="3"/>
      <c r="K24" t="str">
        <f t="shared" si="0"/>
        <v xml:space="preserve">Seguridad e Higiene en el Trabajo - ELEC1 -  Daniela Alejandra </v>
      </c>
    </row>
    <row r="25" spans="1:11" ht="15.75" customHeight="1">
      <c r="A25" s="15" t="s">
        <v>72</v>
      </c>
      <c r="B25" s="3" t="s">
        <v>27</v>
      </c>
      <c r="C25" s="15" t="s">
        <v>21</v>
      </c>
      <c r="D25" s="3" t="s">
        <v>76</v>
      </c>
      <c r="E25" s="13" t="s">
        <v>73</v>
      </c>
      <c r="F25" s="5">
        <v>45981</v>
      </c>
      <c r="G25" s="15" t="s">
        <v>74</v>
      </c>
      <c r="H25" s="7">
        <v>0.2986111111111111</v>
      </c>
      <c r="I25" s="3" t="s">
        <v>84</v>
      </c>
      <c r="J25" s="3"/>
      <c r="K25" t="str">
        <f t="shared" si="0"/>
        <v>Metrología y Representación Gráfica - CM3 -  Gianfranco</v>
      </c>
    </row>
    <row r="26" spans="1:11" ht="15.75" customHeight="1">
      <c r="A26" s="15" t="s">
        <v>72</v>
      </c>
      <c r="B26" s="3" t="s">
        <v>27</v>
      </c>
      <c r="C26" s="15" t="s">
        <v>21</v>
      </c>
      <c r="D26" s="3" t="s">
        <v>76</v>
      </c>
      <c r="E26" s="3" t="s">
        <v>77</v>
      </c>
      <c r="F26" s="5">
        <v>45993</v>
      </c>
      <c r="G26" s="15" t="s">
        <v>74</v>
      </c>
      <c r="H26" s="7">
        <v>0.39583333333333331</v>
      </c>
      <c r="I26" s="3" t="s">
        <v>84</v>
      </c>
      <c r="J26" s="3"/>
      <c r="K26" t="str">
        <f t="shared" si="0"/>
        <v>Metrología y Representación Gráfica - CM3 -  Gianfranco</v>
      </c>
    </row>
    <row r="27" spans="1:11" ht="15.75" customHeight="1">
      <c r="A27" s="15" t="s">
        <v>72</v>
      </c>
      <c r="B27" s="3" t="s">
        <v>33</v>
      </c>
      <c r="C27" s="15" t="s">
        <v>18</v>
      </c>
      <c r="D27" s="3" t="s">
        <v>66</v>
      </c>
      <c r="E27" s="13" t="s">
        <v>73</v>
      </c>
      <c r="F27" s="5">
        <v>45980</v>
      </c>
      <c r="G27" s="15" t="s">
        <v>74</v>
      </c>
      <c r="H27" s="7">
        <v>0.2986111111111111</v>
      </c>
      <c r="I27" s="3" t="s">
        <v>84</v>
      </c>
      <c r="J27" s="3"/>
      <c r="K27" t="str">
        <f t="shared" si="0"/>
        <v>Procesos Mecánicos - RUE1 -  Gianfranco</v>
      </c>
    </row>
    <row r="28" spans="1:11" ht="15.75" customHeight="1">
      <c r="A28" s="15" t="s">
        <v>72</v>
      </c>
      <c r="B28" s="3" t="s">
        <v>33</v>
      </c>
      <c r="C28" s="15" t="s">
        <v>18</v>
      </c>
      <c r="D28" s="3" t="s">
        <v>66</v>
      </c>
      <c r="E28" s="3" t="s">
        <v>77</v>
      </c>
      <c r="F28" s="5">
        <v>46001</v>
      </c>
      <c r="G28" s="15" t="s">
        <v>74</v>
      </c>
      <c r="H28" s="7">
        <v>0.2986111111111111</v>
      </c>
      <c r="I28" s="3" t="s">
        <v>84</v>
      </c>
      <c r="J28" s="3"/>
      <c r="K28" t="str">
        <f t="shared" si="0"/>
        <v>Procesos Mecánicos - RUE1 -  Gianfranco</v>
      </c>
    </row>
    <row r="29" spans="1:11" ht="15.75" customHeight="1">
      <c r="A29" s="15" t="s">
        <v>72</v>
      </c>
      <c r="B29" s="3" t="s">
        <v>30</v>
      </c>
      <c r="C29" s="15" t="s">
        <v>17</v>
      </c>
      <c r="D29" s="3" t="s">
        <v>69</v>
      </c>
      <c r="E29" s="13" t="s">
        <v>73</v>
      </c>
      <c r="F29" s="5">
        <v>45987</v>
      </c>
      <c r="G29" s="15" t="s">
        <v>74</v>
      </c>
      <c r="H29" s="7">
        <v>0.2986111111111111</v>
      </c>
      <c r="I29" s="13" t="s">
        <v>84</v>
      </c>
      <c r="J29" s="3"/>
      <c r="K29" t="str">
        <f t="shared" si="0"/>
        <v>Sistemas Hidráulicos y Neumáticos - ING1 -  Gianfranco</v>
      </c>
    </row>
    <row r="30" spans="1:11" ht="26.7" customHeight="1">
      <c r="A30" s="15" t="s">
        <v>72</v>
      </c>
      <c r="B30" s="3" t="s">
        <v>30</v>
      </c>
      <c r="C30" s="15" t="s">
        <v>17</v>
      </c>
      <c r="D30" s="3" t="s">
        <v>69</v>
      </c>
      <c r="E30" s="3" t="s">
        <v>77</v>
      </c>
      <c r="F30" s="5">
        <v>45995</v>
      </c>
      <c r="G30" s="15" t="s">
        <v>74</v>
      </c>
      <c r="H30" s="7">
        <v>0.2986111111111111</v>
      </c>
      <c r="I30" s="3" t="s">
        <v>84</v>
      </c>
      <c r="J30" s="3"/>
      <c r="K30" t="str">
        <f t="shared" si="0"/>
        <v>Sistemas Hidráulicos y Neumáticos - ING1 -  Gianfranco</v>
      </c>
    </row>
    <row r="31" spans="1:11" ht="15.75" customHeight="1">
      <c r="A31" s="15" t="s">
        <v>72</v>
      </c>
      <c r="B31" s="3" t="s">
        <v>30</v>
      </c>
      <c r="C31" s="15" t="s">
        <v>16</v>
      </c>
      <c r="D31" s="3" t="s">
        <v>67</v>
      </c>
      <c r="E31" s="13" t="s">
        <v>73</v>
      </c>
      <c r="F31" s="5">
        <v>45987</v>
      </c>
      <c r="G31" s="15" t="s">
        <v>74</v>
      </c>
      <c r="H31" s="7">
        <v>0.2986111111111111</v>
      </c>
      <c r="I31" s="13" t="s">
        <v>84</v>
      </c>
      <c r="J31" s="3"/>
      <c r="K31" t="str">
        <f t="shared" si="0"/>
        <v>Sistemas Hidráulicos y Neumáticos - ORU1 -  Gianfranco</v>
      </c>
    </row>
    <row r="32" spans="1:11" ht="15.75" customHeight="1">
      <c r="A32" s="15" t="s">
        <v>72</v>
      </c>
      <c r="B32" s="3" t="s">
        <v>30</v>
      </c>
      <c r="C32" s="15" t="s">
        <v>16</v>
      </c>
      <c r="D32" s="3" t="s">
        <v>67</v>
      </c>
      <c r="E32" s="3" t="s">
        <v>77</v>
      </c>
      <c r="F32" s="5">
        <v>45995</v>
      </c>
      <c r="G32" s="15" t="s">
        <v>74</v>
      </c>
      <c r="H32" s="7">
        <v>0.2986111111111111</v>
      </c>
      <c r="I32" s="3" t="s">
        <v>84</v>
      </c>
      <c r="J32" s="3"/>
      <c r="K32" t="str">
        <f t="shared" si="0"/>
        <v>Sistemas Hidráulicos y Neumáticos - ORU1 -  Gianfranco</v>
      </c>
    </row>
    <row r="33" spans="1:11" ht="25.2" customHeight="1">
      <c r="A33" s="15" t="s">
        <v>72</v>
      </c>
      <c r="B33" s="3" t="s">
        <v>32</v>
      </c>
      <c r="C33" s="15" t="s">
        <v>20</v>
      </c>
      <c r="D33" s="3" t="str">
        <f>"Automotores"</f>
        <v>Automotores</v>
      </c>
      <c r="E33" s="13" t="s">
        <v>73</v>
      </c>
      <c r="F33" s="5">
        <v>45991</v>
      </c>
      <c r="G33" s="15" t="s">
        <v>75</v>
      </c>
      <c r="H33" s="7">
        <v>0.63194444444444442</v>
      </c>
      <c r="I33" s="3" t="s">
        <v>85</v>
      </c>
      <c r="J33" s="3"/>
      <c r="K33" t="str">
        <f t="shared" si="0"/>
        <v>Tecnología del Automotor - CM2 -  Bernardo Daniel</v>
      </c>
    </row>
    <row r="34" spans="1:11" ht="15.75" customHeight="1">
      <c r="A34" s="15" t="s">
        <v>72</v>
      </c>
      <c r="B34" s="3" t="s">
        <v>32</v>
      </c>
      <c r="C34" s="15" t="s">
        <v>20</v>
      </c>
      <c r="D34" s="3" t="str">
        <f t="shared" ref="D34:D97" si="1">"Automotores"</f>
        <v>Automotores</v>
      </c>
      <c r="E34" s="3" t="s">
        <v>77</v>
      </c>
      <c r="F34" s="5">
        <v>45992</v>
      </c>
      <c r="G34" s="15" t="s">
        <v>75</v>
      </c>
      <c r="H34" s="7">
        <v>0.63194444444444442</v>
      </c>
      <c r="I34" s="3" t="s">
        <v>85</v>
      </c>
      <c r="J34" s="3"/>
      <c r="K34" t="str">
        <f t="shared" si="0"/>
        <v>Tecnología del Automotor - CM2 -  Bernardo Daniel</v>
      </c>
    </row>
    <row r="35" spans="1:11" ht="15.75" customHeight="1">
      <c r="A35" s="15" t="s">
        <v>78</v>
      </c>
      <c r="B35" s="3" t="s">
        <v>35</v>
      </c>
      <c r="C35" s="15" t="s">
        <v>24</v>
      </c>
      <c r="D35" s="3" t="str">
        <f t="shared" si="1"/>
        <v>Automotores</v>
      </c>
      <c r="E35" s="3" t="s">
        <v>73</v>
      </c>
      <c r="F35" s="5">
        <v>45985</v>
      </c>
      <c r="G35" s="15" t="s">
        <v>75</v>
      </c>
      <c r="H35" s="7">
        <v>0.63194444439999997</v>
      </c>
      <c r="I35" s="3" t="s">
        <v>85</v>
      </c>
      <c r="J35" s="3"/>
      <c r="K35" t="str">
        <f t="shared" si="0"/>
        <v>Termodinámica y Motores de Combustión Interna II - RUE2 -  Bernardo Daniel</v>
      </c>
    </row>
    <row r="36" spans="1:11" ht="15.75" customHeight="1">
      <c r="A36" s="15" t="s">
        <v>78</v>
      </c>
      <c r="B36" s="3" t="s">
        <v>35</v>
      </c>
      <c r="C36" s="15" t="s">
        <v>24</v>
      </c>
      <c r="D36" s="3" t="str">
        <f t="shared" si="1"/>
        <v>Automotores</v>
      </c>
      <c r="E36" s="3" t="s">
        <v>77</v>
      </c>
      <c r="F36" s="5">
        <v>45992</v>
      </c>
      <c r="G36" s="15" t="s">
        <v>75</v>
      </c>
      <c r="H36" s="7">
        <v>0.63194444439999997</v>
      </c>
      <c r="I36" s="3" t="s">
        <v>85</v>
      </c>
      <c r="J36" s="3"/>
      <c r="K36" t="str">
        <f t="shared" si="0"/>
        <v>Termodinámica y Motores de Combustión Interna II - RUE2 -  Bernardo Daniel</v>
      </c>
    </row>
    <row r="37" spans="1:11" ht="15.75" customHeight="1">
      <c r="A37" s="15" t="s">
        <v>78</v>
      </c>
      <c r="B37" s="3" t="s">
        <v>35</v>
      </c>
      <c r="C37" s="15" t="s">
        <v>24</v>
      </c>
      <c r="D37" s="3" t="str">
        <f t="shared" si="1"/>
        <v>Automotores</v>
      </c>
      <c r="E37" s="3" t="s">
        <v>79</v>
      </c>
      <c r="F37" s="5">
        <v>46002</v>
      </c>
      <c r="G37" s="15" t="s">
        <v>74</v>
      </c>
      <c r="H37" s="7">
        <v>0.29861111109999999</v>
      </c>
      <c r="I37" s="3" t="s">
        <v>85</v>
      </c>
      <c r="J37" s="3"/>
      <c r="K37" t="str">
        <f t="shared" si="0"/>
        <v>Termodinámica y Motores de Combustión Interna II - RUE2 -  Bernardo Daniel</v>
      </c>
    </row>
    <row r="38" spans="1:11" ht="15.75" customHeight="1">
      <c r="A38" s="15" t="s">
        <v>72</v>
      </c>
      <c r="B38" s="3" t="s">
        <v>27</v>
      </c>
      <c r="C38" s="15" t="s">
        <v>20</v>
      </c>
      <c r="D38" s="3" t="str">
        <f t="shared" si="1"/>
        <v>Automotores</v>
      </c>
      <c r="E38" s="13" t="s">
        <v>73</v>
      </c>
      <c r="F38" s="5">
        <v>45980</v>
      </c>
      <c r="G38" s="15" t="s">
        <v>74</v>
      </c>
      <c r="H38" s="7">
        <v>0.2986111111111111</v>
      </c>
      <c r="I38" s="3"/>
      <c r="J38" s="3"/>
      <c r="K38" t="str">
        <f t="shared" si="0"/>
        <v xml:space="preserve">Metrología y Representación Gráfica - CM2 - </v>
      </c>
    </row>
    <row r="39" spans="1:11" ht="15.75" customHeight="1">
      <c r="A39" s="15" t="s">
        <v>72</v>
      </c>
      <c r="B39" s="3" t="s">
        <v>27</v>
      </c>
      <c r="C39" s="15" t="s">
        <v>20</v>
      </c>
      <c r="D39" s="3" t="str">
        <f t="shared" si="1"/>
        <v>Automotores</v>
      </c>
      <c r="E39" s="3" t="s">
        <v>77</v>
      </c>
      <c r="F39" s="5">
        <v>45994</v>
      </c>
      <c r="G39" s="15" t="s">
        <v>74</v>
      </c>
      <c r="H39" s="7">
        <v>0.39583333333333331</v>
      </c>
      <c r="I39" s="3"/>
      <c r="J39" s="3"/>
      <c r="K39" t="str">
        <f t="shared" si="0"/>
        <v xml:space="preserve">Metrología y Representación Gráfica - CM2 - </v>
      </c>
    </row>
    <row r="40" spans="1:11" ht="15.75" customHeight="1">
      <c r="A40" s="15" t="s">
        <v>72</v>
      </c>
      <c r="B40" s="3" t="s">
        <v>27</v>
      </c>
      <c r="C40" s="15" t="s">
        <v>18</v>
      </c>
      <c r="D40" s="3" t="str">
        <f t="shared" si="1"/>
        <v>Automotores</v>
      </c>
      <c r="E40" s="13" t="s">
        <v>73</v>
      </c>
      <c r="F40" s="5">
        <v>45991</v>
      </c>
      <c r="G40" s="15" t="s">
        <v>74</v>
      </c>
      <c r="H40" s="7">
        <v>0.39583333333333331</v>
      </c>
      <c r="I40" s="3"/>
      <c r="J40" s="3"/>
      <c r="K40" t="str">
        <f t="shared" si="0"/>
        <v xml:space="preserve">Metrología y Representación Gráfica - RUE1 - </v>
      </c>
    </row>
    <row r="41" spans="1:11" ht="15.75" customHeight="1">
      <c r="A41" s="15" t="s">
        <v>72</v>
      </c>
      <c r="B41" s="3" t="s">
        <v>27</v>
      </c>
      <c r="C41" s="15" t="s">
        <v>71</v>
      </c>
      <c r="D41" s="3" t="str">
        <f t="shared" si="1"/>
        <v>Automotores</v>
      </c>
      <c r="E41" s="13" t="s">
        <v>73</v>
      </c>
      <c r="F41" s="5">
        <v>45980</v>
      </c>
      <c r="G41" s="15" t="s">
        <v>74</v>
      </c>
      <c r="H41" s="7">
        <v>0.2986111111111111</v>
      </c>
      <c r="I41" s="13"/>
      <c r="J41" s="3"/>
      <c r="K41" t="str">
        <f t="shared" si="0"/>
        <v xml:space="preserve">Metrología y Representación Gráfica - ELEC1 - </v>
      </c>
    </row>
    <row r="42" spans="1:11" ht="15.75" customHeight="1">
      <c r="A42" s="15" t="s">
        <v>72</v>
      </c>
      <c r="B42" s="3" t="s">
        <v>27</v>
      </c>
      <c r="C42" s="15" t="s">
        <v>71</v>
      </c>
      <c r="D42" s="3" t="str">
        <f t="shared" si="1"/>
        <v>Automotores</v>
      </c>
      <c r="E42" s="3" t="s">
        <v>77</v>
      </c>
      <c r="F42" s="5">
        <v>46001</v>
      </c>
      <c r="G42" s="15" t="s">
        <v>74</v>
      </c>
      <c r="H42" s="7">
        <v>0.2986111111111111</v>
      </c>
      <c r="I42" s="3"/>
      <c r="J42" s="3"/>
      <c r="K42" t="str">
        <f t="shared" si="0"/>
        <v xml:space="preserve">Metrología y Representación Gráfica - ELEC1 - </v>
      </c>
    </row>
    <row r="43" spans="1:11" ht="15.75" customHeight="1">
      <c r="A43" s="15" t="s">
        <v>78</v>
      </c>
      <c r="B43" s="3" t="s">
        <v>34</v>
      </c>
      <c r="C43" s="15" t="s">
        <v>24</v>
      </c>
      <c r="D43" s="3" t="str">
        <f t="shared" si="1"/>
        <v>Automotores</v>
      </c>
      <c r="E43" s="3" t="s">
        <v>73</v>
      </c>
      <c r="F43" s="5">
        <v>45991</v>
      </c>
      <c r="G43" s="15" t="s">
        <v>74</v>
      </c>
      <c r="H43" s="7">
        <v>0.29861111109999999</v>
      </c>
      <c r="I43" s="3"/>
      <c r="J43" s="3"/>
      <c r="K43" t="str">
        <f t="shared" si="0"/>
        <v xml:space="preserve">Representación Gráfica Asistida por Computadora - RUE2 - </v>
      </c>
    </row>
    <row r="44" spans="1:11" ht="15.75" customHeight="1">
      <c r="A44" s="15" t="s">
        <v>78</v>
      </c>
      <c r="B44" s="3" t="s">
        <v>34</v>
      </c>
      <c r="C44" s="15" t="s">
        <v>24</v>
      </c>
      <c r="D44" s="3" t="str">
        <f t="shared" si="1"/>
        <v>Automotores</v>
      </c>
      <c r="E44" s="3" t="s">
        <v>77</v>
      </c>
      <c r="F44" s="5">
        <v>45994</v>
      </c>
      <c r="G44" s="15" t="s">
        <v>74</v>
      </c>
      <c r="H44" s="7">
        <v>0.29861111109999999</v>
      </c>
      <c r="I44" s="3"/>
      <c r="J44" s="3"/>
      <c r="K44" t="str">
        <f t="shared" si="0"/>
        <v xml:space="preserve">Representación Gráfica Asistida por Computadora - RUE2 - </v>
      </c>
    </row>
    <row r="45" spans="1:11" ht="15.75" customHeight="1">
      <c r="A45" s="15" t="s">
        <v>78</v>
      </c>
      <c r="B45" s="3" t="s">
        <v>34</v>
      </c>
      <c r="C45" s="15" t="s">
        <v>24</v>
      </c>
      <c r="D45" s="3" t="str">
        <f t="shared" si="1"/>
        <v>Automotores</v>
      </c>
      <c r="E45" s="3" t="s">
        <v>79</v>
      </c>
      <c r="F45" s="5">
        <v>46001</v>
      </c>
      <c r="G45" s="15" t="s">
        <v>74</v>
      </c>
      <c r="H45" s="7">
        <v>0.39583333329999998</v>
      </c>
      <c r="I45" s="3"/>
      <c r="J45" s="3"/>
      <c r="K45" t="str">
        <f t="shared" si="0"/>
        <v xml:space="preserve">Representación Gráfica Asistida por Computadora - RUE2 - </v>
      </c>
    </row>
    <row r="46" spans="1:11" ht="15.75" customHeight="1">
      <c r="A46" s="15" t="s">
        <v>72</v>
      </c>
      <c r="B46" s="3" t="s">
        <v>2</v>
      </c>
      <c r="C46" s="15" t="s">
        <v>21</v>
      </c>
      <c r="D46" s="3" t="str">
        <f t="shared" si="1"/>
        <v>Automotores</v>
      </c>
      <c r="E46" s="13" t="s">
        <v>73</v>
      </c>
      <c r="F46" s="5">
        <v>45991</v>
      </c>
      <c r="G46" s="15" t="s">
        <v>74</v>
      </c>
      <c r="H46" s="7">
        <v>0.39583333333333331</v>
      </c>
      <c r="I46" s="3"/>
      <c r="J46" s="3"/>
      <c r="K46" t="str">
        <f t="shared" si="0"/>
        <v xml:space="preserve">Inglés I - CM3 - </v>
      </c>
    </row>
    <row r="47" spans="1:11" ht="15.75" customHeight="1">
      <c r="A47" s="15" t="s">
        <v>72</v>
      </c>
      <c r="B47" s="3" t="s">
        <v>2</v>
      </c>
      <c r="C47" s="15" t="s">
        <v>21</v>
      </c>
      <c r="D47" s="3" t="str">
        <f t="shared" si="1"/>
        <v>Automotores</v>
      </c>
      <c r="E47" s="3" t="s">
        <v>77</v>
      </c>
      <c r="F47" s="5">
        <v>45994</v>
      </c>
      <c r="G47" s="15" t="s">
        <v>74</v>
      </c>
      <c r="H47" s="7">
        <v>0.39583333333333331</v>
      </c>
      <c r="I47" s="3"/>
      <c r="J47" s="3"/>
      <c r="K47" t="str">
        <f t="shared" si="0"/>
        <v xml:space="preserve">Inglés I - CM3 - </v>
      </c>
    </row>
    <row r="48" spans="1:11" ht="15.75" customHeight="1">
      <c r="A48" s="15" t="s">
        <v>72</v>
      </c>
      <c r="B48" s="3" t="s">
        <v>2</v>
      </c>
      <c r="C48" s="15" t="s">
        <v>18</v>
      </c>
      <c r="D48" s="3" t="str">
        <f t="shared" si="1"/>
        <v>Automotores</v>
      </c>
      <c r="E48" s="13" t="s">
        <v>73</v>
      </c>
      <c r="F48" s="5">
        <v>45987</v>
      </c>
      <c r="G48" s="15" t="s">
        <v>74</v>
      </c>
      <c r="H48" s="7">
        <v>0.36805555555555558</v>
      </c>
      <c r="I48" s="3"/>
      <c r="J48" s="3"/>
      <c r="K48" t="str">
        <f t="shared" si="0"/>
        <v xml:space="preserve">Inglés I - RUE1 - </v>
      </c>
    </row>
    <row r="49" spans="1:11" ht="15.75" customHeight="1">
      <c r="A49" s="15" t="s">
        <v>72</v>
      </c>
      <c r="B49" s="3" t="s">
        <v>2</v>
      </c>
      <c r="C49" s="15" t="s">
        <v>18</v>
      </c>
      <c r="D49" s="3" t="str">
        <f t="shared" si="1"/>
        <v>Automotores</v>
      </c>
      <c r="E49" s="3" t="s">
        <v>77</v>
      </c>
      <c r="F49" s="5">
        <v>45993</v>
      </c>
      <c r="G49" s="15" t="s">
        <v>74</v>
      </c>
      <c r="H49" s="7">
        <v>0.39583333333333331</v>
      </c>
      <c r="I49" s="3"/>
      <c r="J49" s="3"/>
      <c r="K49" t="str">
        <f t="shared" si="0"/>
        <v xml:space="preserve">Inglés I - RUE1 - </v>
      </c>
    </row>
    <row r="50" spans="1:11" ht="15.75" customHeight="1">
      <c r="A50" s="15" t="s">
        <v>72</v>
      </c>
      <c r="B50" s="3" t="s">
        <v>2</v>
      </c>
      <c r="C50" s="15" t="s">
        <v>71</v>
      </c>
      <c r="D50" s="3" t="str">
        <f t="shared" si="1"/>
        <v>Automotores</v>
      </c>
      <c r="E50" s="13" t="s">
        <v>73</v>
      </c>
      <c r="F50" s="5">
        <v>45987</v>
      </c>
      <c r="G50" s="15" t="s">
        <v>74</v>
      </c>
      <c r="H50" s="7">
        <v>0.36805555555555558</v>
      </c>
      <c r="I50" s="3"/>
      <c r="J50" s="3"/>
      <c r="K50" t="str">
        <f t="shared" si="0"/>
        <v xml:space="preserve">Inglés I - ELEC1 - </v>
      </c>
    </row>
    <row r="51" spans="1:11" ht="15.75" customHeight="1">
      <c r="A51" s="15" t="s">
        <v>72</v>
      </c>
      <c r="B51" s="3" t="s">
        <v>2</v>
      </c>
      <c r="C51" s="15" t="s">
        <v>71</v>
      </c>
      <c r="D51" s="3" t="str">
        <f t="shared" si="1"/>
        <v>Automotores</v>
      </c>
      <c r="E51" s="3" t="s">
        <v>77</v>
      </c>
      <c r="F51" s="5">
        <v>45994</v>
      </c>
      <c r="G51" s="15" t="s">
        <v>74</v>
      </c>
      <c r="H51" s="7">
        <v>0.39583333333333331</v>
      </c>
      <c r="I51" s="3"/>
      <c r="J51" s="3"/>
      <c r="K51" t="str">
        <f t="shared" si="0"/>
        <v xml:space="preserve">Inglés I - ELEC1 - </v>
      </c>
    </row>
    <row r="52" spans="1:11" ht="15.75" customHeight="1">
      <c r="A52" s="17" t="s">
        <v>78</v>
      </c>
      <c r="B52" s="13" t="s">
        <v>4</v>
      </c>
      <c r="C52" s="17" t="s">
        <v>26</v>
      </c>
      <c r="D52" s="3" t="str">
        <f t="shared" si="1"/>
        <v>Automotores</v>
      </c>
      <c r="E52" s="13" t="s">
        <v>73</v>
      </c>
      <c r="F52" s="20">
        <v>45986</v>
      </c>
      <c r="G52" s="17" t="s">
        <v>74</v>
      </c>
      <c r="H52" s="18">
        <v>0.39583333333333331</v>
      </c>
      <c r="I52" s="13"/>
      <c r="J52" s="13"/>
      <c r="K52" t="str">
        <f t="shared" si="0"/>
        <v xml:space="preserve">Inglés II - CM5 - </v>
      </c>
    </row>
    <row r="53" spans="1:11" ht="15.75" customHeight="1">
      <c r="A53" s="17" t="s">
        <v>78</v>
      </c>
      <c r="B53" s="13" t="s">
        <v>4</v>
      </c>
      <c r="C53" s="17" t="s">
        <v>26</v>
      </c>
      <c r="D53" s="3" t="str">
        <f t="shared" si="1"/>
        <v>Automotores</v>
      </c>
      <c r="E53" s="13" t="s">
        <v>77</v>
      </c>
      <c r="F53" s="20">
        <v>45993</v>
      </c>
      <c r="G53" s="17" t="s">
        <v>74</v>
      </c>
      <c r="H53" s="18">
        <v>0.39583333333333331</v>
      </c>
      <c r="I53" s="13"/>
      <c r="J53" s="13"/>
      <c r="K53" t="str">
        <f t="shared" si="0"/>
        <v xml:space="preserve">Inglés II - CM5 - </v>
      </c>
    </row>
    <row r="54" spans="1:11" ht="15.75" customHeight="1">
      <c r="A54" s="17" t="s">
        <v>78</v>
      </c>
      <c r="B54" s="13" t="s">
        <v>4</v>
      </c>
      <c r="C54" s="17" t="s">
        <v>26</v>
      </c>
      <c r="D54" s="3" t="str">
        <f t="shared" si="1"/>
        <v>Automotores</v>
      </c>
      <c r="E54" s="13" t="s">
        <v>79</v>
      </c>
      <c r="F54" s="20">
        <v>46000</v>
      </c>
      <c r="G54" s="17" t="s">
        <v>74</v>
      </c>
      <c r="H54" s="18">
        <v>0.39583333333333331</v>
      </c>
      <c r="I54" s="13"/>
      <c r="J54" s="13"/>
      <c r="K54" t="str">
        <f t="shared" si="0"/>
        <v xml:space="preserve">Inglés II - CM5 - </v>
      </c>
    </row>
    <row r="55" spans="1:11" ht="15.75" customHeight="1">
      <c r="A55" s="15" t="s">
        <v>72</v>
      </c>
      <c r="B55" s="3" t="s">
        <v>36</v>
      </c>
      <c r="C55" s="15" t="s">
        <v>18</v>
      </c>
      <c r="D55" s="3" t="str">
        <f t="shared" si="1"/>
        <v>Automotores</v>
      </c>
      <c r="E55" s="13" t="s">
        <v>73</v>
      </c>
      <c r="F55" s="5">
        <v>45985</v>
      </c>
      <c r="G55" s="15" t="s">
        <v>75</v>
      </c>
      <c r="H55" s="7">
        <v>0.63194444444444442</v>
      </c>
      <c r="I55" s="3" t="s">
        <v>86</v>
      </c>
      <c r="J55" s="3"/>
      <c r="K55" t="str">
        <f t="shared" si="0"/>
        <v xml:space="preserve">Técnica y Metodología Operativa en Vehículos a Rueda - RUE1 -  Lucio Andrés </v>
      </c>
    </row>
    <row r="56" spans="1:11" ht="15.75" customHeight="1">
      <c r="A56" s="15" t="s">
        <v>72</v>
      </c>
      <c r="B56" s="3" t="s">
        <v>36</v>
      </c>
      <c r="C56" s="15" t="s">
        <v>18</v>
      </c>
      <c r="D56" s="3" t="str">
        <f t="shared" si="1"/>
        <v>Automotores</v>
      </c>
      <c r="E56" s="3" t="s">
        <v>77</v>
      </c>
      <c r="F56" s="5">
        <v>46000</v>
      </c>
      <c r="G56" s="15" t="s">
        <v>74</v>
      </c>
      <c r="H56" s="7">
        <v>0.39583333333333331</v>
      </c>
      <c r="I56" s="3" t="s">
        <v>86</v>
      </c>
      <c r="J56" s="3"/>
      <c r="K56" t="str">
        <f t="shared" si="0"/>
        <v xml:space="preserve">Técnica y Metodología Operativa en Vehículos a Rueda - RUE1 -  Lucio Andrés </v>
      </c>
    </row>
    <row r="57" spans="1:11" ht="15.75" customHeight="1">
      <c r="A57" s="15" t="s">
        <v>72</v>
      </c>
      <c r="B57" s="3" t="s">
        <v>32</v>
      </c>
      <c r="C57" s="15" t="s">
        <v>21</v>
      </c>
      <c r="D57" s="3" t="str">
        <f t="shared" si="1"/>
        <v>Automotores</v>
      </c>
      <c r="E57" s="13" t="s">
        <v>73</v>
      </c>
      <c r="F57" s="5">
        <v>45986</v>
      </c>
      <c r="G57" s="15" t="s">
        <v>74</v>
      </c>
      <c r="H57" s="7">
        <v>0.2986111111111111</v>
      </c>
      <c r="I57" s="3" t="s">
        <v>86</v>
      </c>
      <c r="J57" s="3"/>
      <c r="K57" t="str">
        <f t="shared" si="0"/>
        <v xml:space="preserve">Tecnología del Automotor - CM3 -  Lucio Andrés </v>
      </c>
    </row>
    <row r="58" spans="1:11" ht="15.75" customHeight="1">
      <c r="A58" s="15" t="s">
        <v>72</v>
      </c>
      <c r="B58" s="3" t="s">
        <v>32</v>
      </c>
      <c r="C58" s="15" t="s">
        <v>21</v>
      </c>
      <c r="D58" s="3" t="str">
        <f t="shared" si="1"/>
        <v>Automotores</v>
      </c>
      <c r="E58" s="3" t="s">
        <v>77</v>
      </c>
      <c r="F58" s="5">
        <v>46000</v>
      </c>
      <c r="G58" s="15" t="s">
        <v>74</v>
      </c>
      <c r="H58" s="7">
        <v>0.2986111111111111</v>
      </c>
      <c r="I58" s="3" t="s">
        <v>86</v>
      </c>
      <c r="J58" s="3"/>
      <c r="K58" t="str">
        <f t="shared" si="0"/>
        <v xml:space="preserve">Tecnología del Automotor - CM3 -  Lucio Andrés </v>
      </c>
    </row>
    <row r="59" spans="1:11" ht="15.75" customHeight="1">
      <c r="A59" s="15" t="s">
        <v>72</v>
      </c>
      <c r="B59" s="3" t="s">
        <v>32</v>
      </c>
      <c r="C59" s="15" t="s">
        <v>17</v>
      </c>
      <c r="D59" s="3" t="str">
        <f t="shared" si="1"/>
        <v>Automotores</v>
      </c>
      <c r="E59" s="13" t="s">
        <v>73</v>
      </c>
      <c r="F59" s="5">
        <v>45991</v>
      </c>
      <c r="G59" s="15" t="s">
        <v>74</v>
      </c>
      <c r="H59" s="7">
        <v>0.39583333333333331</v>
      </c>
      <c r="I59" s="13" t="s">
        <v>86</v>
      </c>
      <c r="J59" s="3"/>
      <c r="K59" t="str">
        <f t="shared" si="0"/>
        <v xml:space="preserve">Tecnología del Automotor - ING1 -  Lucio Andrés </v>
      </c>
    </row>
    <row r="60" spans="1:11" ht="15.75" customHeight="1">
      <c r="A60" s="15" t="s">
        <v>72</v>
      </c>
      <c r="B60" s="3" t="s">
        <v>32</v>
      </c>
      <c r="C60" s="15" t="s">
        <v>17</v>
      </c>
      <c r="D60" s="3" t="str">
        <f t="shared" si="1"/>
        <v>Automotores</v>
      </c>
      <c r="E60" s="3" t="s">
        <v>77</v>
      </c>
      <c r="F60" s="5">
        <v>46000</v>
      </c>
      <c r="G60" s="15" t="s">
        <v>74</v>
      </c>
      <c r="H60" s="7">
        <v>0.2986111111111111</v>
      </c>
      <c r="I60" s="3" t="s">
        <v>86</v>
      </c>
      <c r="J60" s="3"/>
      <c r="K60" t="str">
        <f t="shared" si="0"/>
        <v xml:space="preserve">Tecnología del Automotor - ING1 -  Lucio Andrés </v>
      </c>
    </row>
    <row r="61" spans="1:11" ht="15.75" customHeight="1">
      <c r="A61" s="15" t="s">
        <v>72</v>
      </c>
      <c r="B61" s="3" t="s">
        <v>32</v>
      </c>
      <c r="C61" s="15" t="s">
        <v>16</v>
      </c>
      <c r="D61" s="3" t="str">
        <f t="shared" si="1"/>
        <v>Automotores</v>
      </c>
      <c r="E61" s="13" t="s">
        <v>73</v>
      </c>
      <c r="F61" s="5">
        <v>45991</v>
      </c>
      <c r="G61" s="15" t="s">
        <v>74</v>
      </c>
      <c r="H61" s="7">
        <v>0.39583333333333331</v>
      </c>
      <c r="I61" s="13" t="s">
        <v>86</v>
      </c>
      <c r="J61" s="3"/>
      <c r="K61" t="str">
        <f t="shared" si="0"/>
        <v xml:space="preserve">Tecnología del Automotor - ORU1 -  Lucio Andrés </v>
      </c>
    </row>
    <row r="62" spans="1:11" ht="15.75" customHeight="1">
      <c r="A62" s="15" t="s">
        <v>72</v>
      </c>
      <c r="B62" s="3" t="s">
        <v>32</v>
      </c>
      <c r="C62" s="15" t="s">
        <v>16</v>
      </c>
      <c r="D62" s="3" t="str">
        <f t="shared" si="1"/>
        <v>Automotores</v>
      </c>
      <c r="E62" s="3" t="s">
        <v>77</v>
      </c>
      <c r="F62" s="5">
        <v>46000</v>
      </c>
      <c r="G62" s="15" t="s">
        <v>74</v>
      </c>
      <c r="H62" s="7">
        <v>0.2986111111111111</v>
      </c>
      <c r="I62" s="3" t="s">
        <v>86</v>
      </c>
      <c r="J62" s="3"/>
      <c r="K62" t="str">
        <f t="shared" si="0"/>
        <v xml:space="preserve">Tecnología del Automotor - ORU1 -  Lucio Andrés </v>
      </c>
    </row>
    <row r="63" spans="1:11" ht="15.75" customHeight="1">
      <c r="A63" s="15" t="s">
        <v>72</v>
      </c>
      <c r="B63" s="3" t="s">
        <v>32</v>
      </c>
      <c r="C63" s="15" t="s">
        <v>71</v>
      </c>
      <c r="D63" s="3" t="str">
        <f t="shared" si="1"/>
        <v>Automotores</v>
      </c>
      <c r="E63" s="13" t="s">
        <v>73</v>
      </c>
      <c r="F63" s="5">
        <v>45986</v>
      </c>
      <c r="G63" s="15" t="s">
        <v>75</v>
      </c>
      <c r="H63" s="7">
        <v>0.72916666666666663</v>
      </c>
      <c r="I63" s="3" t="s">
        <v>86</v>
      </c>
      <c r="J63" s="3"/>
      <c r="K63" t="str">
        <f t="shared" si="0"/>
        <v xml:space="preserve">Tecnología del Automotor - ELEC1 -  Lucio Andrés </v>
      </c>
    </row>
    <row r="64" spans="1:11" ht="15.75" customHeight="1">
      <c r="A64" s="15" t="s">
        <v>72</v>
      </c>
      <c r="B64" s="3" t="s">
        <v>32</v>
      </c>
      <c r="C64" s="15" t="s">
        <v>71</v>
      </c>
      <c r="D64" s="3" t="str">
        <f t="shared" si="1"/>
        <v>Automotores</v>
      </c>
      <c r="E64" s="3" t="s">
        <v>77</v>
      </c>
      <c r="F64" s="5">
        <v>46000</v>
      </c>
      <c r="G64" s="15" t="s">
        <v>75</v>
      </c>
      <c r="H64" s="7">
        <v>0.72916666666666663</v>
      </c>
      <c r="I64" s="3" t="s">
        <v>86</v>
      </c>
      <c r="J64" s="3"/>
      <c r="K64" t="str">
        <f t="shared" si="0"/>
        <v xml:space="preserve">Tecnología del Automotor - ELEC1 -  Lucio Andrés </v>
      </c>
    </row>
    <row r="65" spans="1:11" ht="15.75" customHeight="1">
      <c r="A65" s="15" t="s">
        <v>72</v>
      </c>
      <c r="B65" s="3" t="s">
        <v>31</v>
      </c>
      <c r="C65" s="15" t="s">
        <v>21</v>
      </c>
      <c r="D65" s="3" t="str">
        <f t="shared" si="1"/>
        <v>Automotores</v>
      </c>
      <c r="E65" s="13" t="s">
        <v>73</v>
      </c>
      <c r="F65" s="5">
        <v>45986</v>
      </c>
      <c r="G65" s="15" t="s">
        <v>75</v>
      </c>
      <c r="H65" s="7">
        <v>0.63194444444444442</v>
      </c>
      <c r="I65" s="3" t="s">
        <v>86</v>
      </c>
      <c r="J65" s="3"/>
      <c r="K65" t="str">
        <f t="shared" si="0"/>
        <v xml:space="preserve">Termodinámica y Motores de Combustión Interna I - CM3 -  Lucio Andrés </v>
      </c>
    </row>
    <row r="66" spans="1:11" ht="15.75" customHeight="1">
      <c r="A66" s="15" t="s">
        <v>72</v>
      </c>
      <c r="B66" s="3" t="s">
        <v>31</v>
      </c>
      <c r="C66" s="15" t="s">
        <v>21</v>
      </c>
      <c r="D66" s="3" t="str">
        <f t="shared" si="1"/>
        <v>Automotores</v>
      </c>
      <c r="E66" s="3" t="s">
        <v>77</v>
      </c>
      <c r="F66" s="5">
        <v>46000</v>
      </c>
      <c r="G66" s="15" t="s">
        <v>75</v>
      </c>
      <c r="H66" s="7">
        <v>0.63194444444444442</v>
      </c>
      <c r="I66" s="3" t="s">
        <v>86</v>
      </c>
      <c r="J66" s="3"/>
      <c r="K66" t="str">
        <f t="shared" ref="K66:K129" si="2">B66&amp;" - "&amp;C66&amp;" - "&amp;I66</f>
        <v xml:space="preserve">Termodinámica y Motores de Combustión Interna I - CM3 -  Lucio Andrés </v>
      </c>
    </row>
    <row r="67" spans="1:11" ht="15.75" customHeight="1">
      <c r="A67" s="17" t="s">
        <v>78</v>
      </c>
      <c r="B67" s="13" t="s">
        <v>35</v>
      </c>
      <c r="C67" s="17" t="s">
        <v>26</v>
      </c>
      <c r="D67" s="3" t="str">
        <f t="shared" si="1"/>
        <v>Automotores</v>
      </c>
      <c r="E67" s="13" t="s">
        <v>73</v>
      </c>
      <c r="F67" s="20">
        <v>45991</v>
      </c>
      <c r="G67" s="17" t="s">
        <v>74</v>
      </c>
      <c r="H67" s="18">
        <v>0.29861111109999999</v>
      </c>
      <c r="I67" s="13" t="s">
        <v>86</v>
      </c>
      <c r="J67" s="13"/>
      <c r="K67" t="str">
        <f t="shared" si="2"/>
        <v xml:space="preserve">Termodinámica y Motores de Combustión Interna II - CM5 -  Lucio Andrés </v>
      </c>
    </row>
    <row r="68" spans="1:11" ht="15.75" customHeight="1">
      <c r="A68" s="17" t="s">
        <v>78</v>
      </c>
      <c r="B68" s="13" t="s">
        <v>35</v>
      </c>
      <c r="C68" s="17" t="s">
        <v>26</v>
      </c>
      <c r="D68" s="3" t="str">
        <f t="shared" si="1"/>
        <v>Automotores</v>
      </c>
      <c r="E68" s="13" t="s">
        <v>77</v>
      </c>
      <c r="F68" s="20">
        <v>45992</v>
      </c>
      <c r="G68" s="17" t="s">
        <v>74</v>
      </c>
      <c r="H68" s="18">
        <v>0.39583333329999998</v>
      </c>
      <c r="I68" s="13" t="s">
        <v>86</v>
      </c>
      <c r="J68" s="13"/>
      <c r="K68" t="str">
        <f t="shared" si="2"/>
        <v xml:space="preserve">Termodinámica y Motores de Combustión Interna II - CM5 -  Lucio Andrés </v>
      </c>
    </row>
    <row r="69" spans="1:11" ht="15.75" customHeight="1">
      <c r="A69" s="17" t="s">
        <v>78</v>
      </c>
      <c r="B69" s="13" t="s">
        <v>35</v>
      </c>
      <c r="C69" s="17" t="s">
        <v>26</v>
      </c>
      <c r="D69" s="3" t="str">
        <f t="shared" si="1"/>
        <v>Automotores</v>
      </c>
      <c r="E69" s="13" t="s">
        <v>79</v>
      </c>
      <c r="F69" s="20">
        <v>46002</v>
      </c>
      <c r="G69" s="17" t="s">
        <v>74</v>
      </c>
      <c r="H69" s="18">
        <v>0.29861111109999999</v>
      </c>
      <c r="I69" s="13" t="s">
        <v>86</v>
      </c>
      <c r="J69" s="13"/>
      <c r="K69" t="str">
        <f t="shared" si="2"/>
        <v xml:space="preserve">Termodinámica y Motores de Combustión Interna II - CM5 -  Lucio Andrés </v>
      </c>
    </row>
    <row r="70" spans="1:11" ht="15.75" customHeight="1">
      <c r="A70" s="15" t="s">
        <v>72</v>
      </c>
      <c r="B70" s="3" t="s">
        <v>29</v>
      </c>
      <c r="C70" s="15" t="s">
        <v>21</v>
      </c>
      <c r="D70" s="3" t="str">
        <f t="shared" si="1"/>
        <v>Automotores</v>
      </c>
      <c r="E70" s="13" t="s">
        <v>73</v>
      </c>
      <c r="F70" s="5">
        <v>45985</v>
      </c>
      <c r="G70" s="15" t="s">
        <v>75</v>
      </c>
      <c r="H70" s="7">
        <v>0.63194444444444442</v>
      </c>
      <c r="I70" s="3" t="s">
        <v>87</v>
      </c>
      <c r="J70" s="3"/>
      <c r="K70" t="str">
        <f t="shared" si="2"/>
        <v>Régimen Funcional de Arsenales - CM3 -  Rene Julio</v>
      </c>
    </row>
    <row r="71" spans="1:11" ht="15.75" customHeight="1">
      <c r="A71" s="15" t="s">
        <v>72</v>
      </c>
      <c r="B71" s="3" t="s">
        <v>29</v>
      </c>
      <c r="C71" s="15" t="s">
        <v>21</v>
      </c>
      <c r="D71" s="3" t="str">
        <f t="shared" si="1"/>
        <v>Automotores</v>
      </c>
      <c r="E71" s="3" t="s">
        <v>77</v>
      </c>
      <c r="F71" s="5">
        <v>45992</v>
      </c>
      <c r="G71" s="15" t="s">
        <v>75</v>
      </c>
      <c r="H71" s="7">
        <v>0.63194444444444442</v>
      </c>
      <c r="I71" s="3" t="s">
        <v>87</v>
      </c>
      <c r="J71" s="3"/>
      <c r="K71" t="str">
        <f t="shared" si="2"/>
        <v>Régimen Funcional de Arsenales - CM3 -  Rene Julio</v>
      </c>
    </row>
    <row r="72" spans="1:11" ht="13.2">
      <c r="A72" s="15" t="s">
        <v>72</v>
      </c>
      <c r="B72" s="3" t="s">
        <v>29</v>
      </c>
      <c r="C72" s="15" t="s">
        <v>18</v>
      </c>
      <c r="D72" s="3" t="str">
        <f t="shared" si="1"/>
        <v>Automotores</v>
      </c>
      <c r="E72" s="13" t="s">
        <v>73</v>
      </c>
      <c r="F72" s="5">
        <v>45985</v>
      </c>
      <c r="G72" s="15" t="s">
        <v>74</v>
      </c>
      <c r="H72" s="7">
        <v>0.2986111111111111</v>
      </c>
      <c r="I72" s="3" t="s">
        <v>87</v>
      </c>
      <c r="J72" s="3"/>
      <c r="K72" t="str">
        <f t="shared" si="2"/>
        <v>Régimen Funcional de Arsenales - RUE1 -  Rene Julio</v>
      </c>
    </row>
    <row r="73" spans="1:11" ht="22.95" customHeight="1">
      <c r="A73" s="15" t="s">
        <v>72</v>
      </c>
      <c r="B73" s="3" t="s">
        <v>29</v>
      </c>
      <c r="C73" s="15" t="s">
        <v>18</v>
      </c>
      <c r="D73" s="3" t="str">
        <f t="shared" si="1"/>
        <v>Automotores</v>
      </c>
      <c r="E73" s="3" t="s">
        <v>77</v>
      </c>
      <c r="F73" s="5">
        <v>45992</v>
      </c>
      <c r="G73" s="15" t="s">
        <v>74</v>
      </c>
      <c r="H73" s="7">
        <v>0.2986111111111111</v>
      </c>
      <c r="I73" s="3" t="s">
        <v>87</v>
      </c>
      <c r="J73" s="3"/>
      <c r="K73" t="str">
        <f t="shared" si="2"/>
        <v>Régimen Funcional de Arsenales - RUE1 -  Rene Julio</v>
      </c>
    </row>
    <row r="74" spans="1:11" ht="15.75" customHeight="1">
      <c r="A74" s="15" t="s">
        <v>72</v>
      </c>
      <c r="B74" s="3" t="s">
        <v>28</v>
      </c>
      <c r="C74" s="15" t="s">
        <v>18</v>
      </c>
      <c r="D74" s="3" t="str">
        <f t="shared" si="1"/>
        <v>Automotores</v>
      </c>
      <c r="E74" s="13" t="s">
        <v>73</v>
      </c>
      <c r="F74" s="5">
        <v>45985</v>
      </c>
      <c r="G74" s="15" t="s">
        <v>74</v>
      </c>
      <c r="H74" s="7">
        <v>0.39583333333333331</v>
      </c>
      <c r="I74" s="3" t="s">
        <v>87</v>
      </c>
      <c r="J74" s="3"/>
      <c r="K74" t="str">
        <f t="shared" si="2"/>
        <v>Seguridad e Higiene en el Trabajo - RUE1 -  Rene Julio</v>
      </c>
    </row>
    <row r="75" spans="1:11" ht="15.75" customHeight="1">
      <c r="A75" s="15" t="s">
        <v>72</v>
      </c>
      <c r="B75" s="3" t="s">
        <v>28</v>
      </c>
      <c r="C75" s="15" t="s">
        <v>18</v>
      </c>
      <c r="D75" s="3" t="str">
        <f t="shared" si="1"/>
        <v>Automotores</v>
      </c>
      <c r="E75" s="3" t="s">
        <v>77</v>
      </c>
      <c r="F75" s="5">
        <v>45992</v>
      </c>
      <c r="G75" s="15" t="s">
        <v>74</v>
      </c>
      <c r="H75" s="7">
        <v>0.39583333333333331</v>
      </c>
      <c r="I75" s="3" t="s">
        <v>87</v>
      </c>
      <c r="J75" s="3"/>
      <c r="K75" t="str">
        <f t="shared" si="2"/>
        <v>Seguridad e Higiene en el Trabajo - RUE1 -  Rene Julio</v>
      </c>
    </row>
    <row r="76" spans="1:11" ht="15.75" customHeight="1">
      <c r="A76" s="15" t="s">
        <v>78</v>
      </c>
      <c r="B76" s="3" t="s">
        <v>64</v>
      </c>
      <c r="C76" s="15" t="s">
        <v>23</v>
      </c>
      <c r="D76" s="3" t="str">
        <f t="shared" si="1"/>
        <v>Automotores</v>
      </c>
      <c r="E76" s="3" t="s">
        <v>73</v>
      </c>
      <c r="F76" s="5">
        <v>45991</v>
      </c>
      <c r="G76" s="15" t="s">
        <v>74</v>
      </c>
      <c r="H76" s="7">
        <v>0.39583333329999998</v>
      </c>
      <c r="I76" s="3"/>
      <c r="J76" s="3"/>
      <c r="K76" t="str">
        <f t="shared" si="2"/>
        <v xml:space="preserve">Sistemas Eléctricos y Electrónicos en Equipos y Máquinas de Ingenieros - ING2 - </v>
      </c>
    </row>
    <row r="77" spans="1:11" ht="15.75" customHeight="1">
      <c r="A77" s="15" t="s">
        <v>78</v>
      </c>
      <c r="B77" s="3" t="s">
        <v>64</v>
      </c>
      <c r="C77" s="15" t="s">
        <v>23</v>
      </c>
      <c r="D77" s="3" t="str">
        <f t="shared" si="1"/>
        <v>Automotores</v>
      </c>
      <c r="E77" s="3" t="s">
        <v>77</v>
      </c>
      <c r="F77" s="5">
        <v>45994</v>
      </c>
      <c r="G77" s="15" t="s">
        <v>74</v>
      </c>
      <c r="H77" s="7">
        <v>0.29861111109999999</v>
      </c>
      <c r="I77" s="3"/>
      <c r="J77" s="3"/>
      <c r="K77" t="str">
        <f t="shared" si="2"/>
        <v xml:space="preserve">Sistemas Eléctricos y Electrónicos en Equipos y Máquinas de Ingenieros - ING2 - </v>
      </c>
    </row>
    <row r="78" spans="1:11" ht="15.75" customHeight="1">
      <c r="A78" s="15" t="s">
        <v>78</v>
      </c>
      <c r="B78" s="3" t="s">
        <v>64</v>
      </c>
      <c r="C78" s="15" t="s">
        <v>23</v>
      </c>
      <c r="D78" s="3" t="str">
        <f t="shared" si="1"/>
        <v>Automotores</v>
      </c>
      <c r="E78" s="3" t="s">
        <v>79</v>
      </c>
      <c r="F78" s="5">
        <v>46001</v>
      </c>
      <c r="G78" s="15" t="s">
        <v>74</v>
      </c>
      <c r="H78" s="7">
        <v>0.29861111109999999</v>
      </c>
      <c r="I78" s="3"/>
      <c r="J78" s="3"/>
      <c r="K78" t="str">
        <f t="shared" si="2"/>
        <v xml:space="preserve">Sistemas Eléctricos y Electrónicos en Equipos y Máquinas de Ingenieros - ING2 - </v>
      </c>
    </row>
    <row r="79" spans="1:11" ht="15.75" customHeight="1">
      <c r="A79" s="15" t="s">
        <v>78</v>
      </c>
      <c r="B79" s="3" t="s">
        <v>55</v>
      </c>
      <c r="C79" s="15" t="s">
        <v>25</v>
      </c>
      <c r="D79" s="3" t="str">
        <f t="shared" si="1"/>
        <v>Automotores</v>
      </c>
      <c r="E79" s="3" t="s">
        <v>73</v>
      </c>
      <c r="F79" s="5">
        <v>45987</v>
      </c>
      <c r="G79" s="15" t="s">
        <v>74</v>
      </c>
      <c r="H79" s="7">
        <v>0.29861111109999999</v>
      </c>
      <c r="I79" s="3"/>
      <c r="J79" s="3"/>
      <c r="K79" t="str">
        <f t="shared" si="2"/>
        <v xml:space="preserve">Tecnologías de Mantenimiento Preventivo en Vehículos - CM4 - </v>
      </c>
    </row>
    <row r="80" spans="1:11" ht="15.75" customHeight="1">
      <c r="A80" s="17" t="s">
        <v>78</v>
      </c>
      <c r="B80" s="13" t="s">
        <v>55</v>
      </c>
      <c r="C80" s="17" t="s">
        <v>25</v>
      </c>
      <c r="D80" s="3" t="str">
        <f t="shared" si="1"/>
        <v>Automotores</v>
      </c>
      <c r="E80" s="13" t="s">
        <v>77</v>
      </c>
      <c r="F80" s="20">
        <v>45994</v>
      </c>
      <c r="G80" s="17" t="s">
        <v>74</v>
      </c>
      <c r="H80" s="18">
        <v>0.29861111109999999</v>
      </c>
      <c r="I80" s="13"/>
      <c r="J80" s="13"/>
      <c r="K80" t="str">
        <f t="shared" si="2"/>
        <v xml:space="preserve">Tecnologías de Mantenimiento Preventivo en Vehículos - CM4 - </v>
      </c>
    </row>
    <row r="81" spans="1:11" ht="15.75" customHeight="1">
      <c r="A81" s="17" t="s">
        <v>78</v>
      </c>
      <c r="B81" s="13" t="s">
        <v>55</v>
      </c>
      <c r="C81" s="17" t="s">
        <v>25</v>
      </c>
      <c r="D81" s="3" t="str">
        <f t="shared" si="1"/>
        <v>Automotores</v>
      </c>
      <c r="E81" s="13" t="s">
        <v>79</v>
      </c>
      <c r="F81" s="20">
        <v>46001</v>
      </c>
      <c r="G81" s="17" t="s">
        <v>74</v>
      </c>
      <c r="H81" s="18">
        <v>0.29861111109999999</v>
      </c>
      <c r="I81" s="13"/>
      <c r="J81" s="13"/>
      <c r="K81" t="str">
        <f t="shared" si="2"/>
        <v xml:space="preserve">Tecnologías de Mantenimiento Preventivo en Vehículos - CM4 - </v>
      </c>
    </row>
    <row r="82" spans="1:11" ht="15.75" customHeight="1">
      <c r="A82" s="15" t="s">
        <v>72</v>
      </c>
      <c r="B82" s="3" t="s">
        <v>33</v>
      </c>
      <c r="C82" s="15" t="s">
        <v>19</v>
      </c>
      <c r="D82" s="3" t="str">
        <f t="shared" si="1"/>
        <v>Automotores</v>
      </c>
      <c r="E82" s="13" t="s">
        <v>73</v>
      </c>
      <c r="F82" s="5">
        <v>45985</v>
      </c>
      <c r="G82" s="15" t="s">
        <v>74</v>
      </c>
      <c r="H82" s="7">
        <v>0.2986111111111111</v>
      </c>
      <c r="I82" s="3"/>
      <c r="J82" s="3"/>
      <c r="K82" t="str">
        <f t="shared" si="2"/>
        <v xml:space="preserve">Procesos Mecánicos - CM1 - </v>
      </c>
    </row>
    <row r="83" spans="1:11" ht="15.75" customHeight="1">
      <c r="A83" s="15" t="s">
        <v>72</v>
      </c>
      <c r="B83" s="3" t="s">
        <v>33</v>
      </c>
      <c r="C83" s="15" t="s">
        <v>19</v>
      </c>
      <c r="D83" s="3" t="str">
        <f t="shared" si="1"/>
        <v>Automotores</v>
      </c>
      <c r="E83" s="3" t="s">
        <v>77</v>
      </c>
      <c r="F83" s="5">
        <v>45993</v>
      </c>
      <c r="G83" s="15" t="s">
        <v>74</v>
      </c>
      <c r="H83" s="7">
        <v>0.2986111111111111</v>
      </c>
      <c r="I83" s="3"/>
      <c r="J83" s="3"/>
      <c r="K83" t="str">
        <f t="shared" si="2"/>
        <v xml:space="preserve">Procesos Mecánicos - CM1 - </v>
      </c>
    </row>
    <row r="84" spans="1:11" ht="13.2">
      <c r="A84" s="15" t="s">
        <v>72</v>
      </c>
      <c r="B84" s="3" t="s">
        <v>33</v>
      </c>
      <c r="C84" s="15" t="s">
        <v>17</v>
      </c>
      <c r="D84" s="3" t="str">
        <f t="shared" si="1"/>
        <v>Automotores</v>
      </c>
      <c r="E84" s="13" t="s">
        <v>73</v>
      </c>
      <c r="F84" s="5">
        <v>45991</v>
      </c>
      <c r="G84" s="15" t="s">
        <v>74</v>
      </c>
      <c r="H84" s="7">
        <v>0.2986111111111111</v>
      </c>
      <c r="I84" s="13"/>
      <c r="J84" s="3"/>
      <c r="K84" t="str">
        <f t="shared" si="2"/>
        <v xml:space="preserve">Procesos Mecánicos - ING1 - </v>
      </c>
    </row>
    <row r="85" spans="1:11" ht="27" customHeight="1">
      <c r="A85" s="15" t="s">
        <v>72</v>
      </c>
      <c r="B85" s="3" t="s">
        <v>33</v>
      </c>
      <c r="C85" s="15" t="s">
        <v>17</v>
      </c>
      <c r="D85" s="3" t="str">
        <f t="shared" si="1"/>
        <v>Automotores</v>
      </c>
      <c r="E85" s="3" t="s">
        <v>77</v>
      </c>
      <c r="F85" s="5">
        <v>45993</v>
      </c>
      <c r="G85" s="15" t="s">
        <v>74</v>
      </c>
      <c r="H85" s="7">
        <v>0.2986111111111111</v>
      </c>
      <c r="I85" s="3"/>
      <c r="J85" s="3"/>
      <c r="K85" t="str">
        <f t="shared" si="2"/>
        <v xml:space="preserve">Procesos Mecánicos - ING1 - </v>
      </c>
    </row>
    <row r="86" spans="1:11" ht="15.75" customHeight="1">
      <c r="A86" s="15" t="s">
        <v>72</v>
      </c>
      <c r="B86" s="3" t="s">
        <v>33</v>
      </c>
      <c r="C86" s="15" t="s">
        <v>16</v>
      </c>
      <c r="D86" s="3" t="str">
        <f t="shared" si="1"/>
        <v>Automotores</v>
      </c>
      <c r="E86" s="13" t="s">
        <v>73</v>
      </c>
      <c r="F86" s="5">
        <v>45991</v>
      </c>
      <c r="G86" s="15" t="s">
        <v>74</v>
      </c>
      <c r="H86" s="7">
        <v>0.2986111111111111</v>
      </c>
      <c r="I86" s="13"/>
      <c r="J86" s="3"/>
      <c r="K86" t="str">
        <f t="shared" si="2"/>
        <v xml:space="preserve">Procesos Mecánicos - ORU1 - </v>
      </c>
    </row>
    <row r="87" spans="1:11" ht="15.75" customHeight="1">
      <c r="A87" s="15" t="s">
        <v>72</v>
      </c>
      <c r="B87" s="3" t="s">
        <v>33</v>
      </c>
      <c r="C87" s="15" t="s">
        <v>16</v>
      </c>
      <c r="D87" s="3" t="str">
        <f t="shared" si="1"/>
        <v>Automotores</v>
      </c>
      <c r="E87" s="3" t="s">
        <v>77</v>
      </c>
      <c r="F87" s="5">
        <v>45993</v>
      </c>
      <c r="G87" s="15" t="s">
        <v>74</v>
      </c>
      <c r="H87" s="7">
        <v>0.2986111111111111</v>
      </c>
      <c r="I87" s="3"/>
      <c r="J87" s="3"/>
      <c r="K87" t="str">
        <f t="shared" si="2"/>
        <v xml:space="preserve">Procesos Mecánicos - ORU1 - </v>
      </c>
    </row>
    <row r="88" spans="1:11" ht="15.75" customHeight="1">
      <c r="A88" s="15" t="s">
        <v>72</v>
      </c>
      <c r="B88" s="3" t="s">
        <v>40</v>
      </c>
      <c r="C88" s="15" t="s">
        <v>20</v>
      </c>
      <c r="D88" s="3" t="str">
        <f t="shared" si="1"/>
        <v>Automotores</v>
      </c>
      <c r="E88" s="13" t="s">
        <v>73</v>
      </c>
      <c r="F88" s="5">
        <v>45986</v>
      </c>
      <c r="G88" s="15" t="s">
        <v>74</v>
      </c>
      <c r="H88" s="7">
        <v>0.2986111111111111</v>
      </c>
      <c r="I88" s="3"/>
      <c r="J88" s="3"/>
      <c r="K88" t="str">
        <f t="shared" si="2"/>
        <v xml:space="preserve">Técnica y Metodología Operativa en Vehículos de Ejército - CM2 - </v>
      </c>
    </row>
    <row r="89" spans="1:11" ht="15.75" customHeight="1">
      <c r="A89" s="15" t="s">
        <v>72</v>
      </c>
      <c r="B89" s="3" t="s">
        <v>40</v>
      </c>
      <c r="C89" s="15" t="s">
        <v>20</v>
      </c>
      <c r="D89" s="3" t="str">
        <f t="shared" si="1"/>
        <v>Automotores</v>
      </c>
      <c r="E89" s="3" t="s">
        <v>77</v>
      </c>
      <c r="F89" s="5">
        <v>45992</v>
      </c>
      <c r="G89" s="15" t="s">
        <v>74</v>
      </c>
      <c r="H89" s="7">
        <v>0.2986111111111111</v>
      </c>
      <c r="I89" s="3"/>
      <c r="J89" s="3"/>
      <c r="K89" t="str">
        <f t="shared" si="2"/>
        <v xml:space="preserve">Técnica y Metodología Operativa en Vehículos de Ejército - CM2 - </v>
      </c>
    </row>
    <row r="90" spans="1:11" ht="15.75" customHeight="1">
      <c r="A90" s="15" t="s">
        <v>72</v>
      </c>
      <c r="B90" s="3" t="s">
        <v>27</v>
      </c>
      <c r="C90" s="15" t="s">
        <v>19</v>
      </c>
      <c r="D90" s="3" t="str">
        <f t="shared" si="1"/>
        <v>Automotores</v>
      </c>
      <c r="E90" s="13" t="s">
        <v>73</v>
      </c>
      <c r="F90" s="5">
        <v>45985</v>
      </c>
      <c r="G90" s="15" t="s">
        <v>75</v>
      </c>
      <c r="H90" s="7">
        <v>0.63194444444444442</v>
      </c>
      <c r="I90" s="3" t="s">
        <v>88</v>
      </c>
      <c r="J90" s="3"/>
      <c r="K90" t="str">
        <f t="shared" si="2"/>
        <v xml:space="preserve">Metrología y Representación Gráfica - CM1 -  Alejandro José Leónides </v>
      </c>
    </row>
    <row r="91" spans="1:11" ht="15.75" customHeight="1">
      <c r="A91" s="15" t="s">
        <v>72</v>
      </c>
      <c r="B91" s="3" t="s">
        <v>27</v>
      </c>
      <c r="C91" s="15" t="s">
        <v>19</v>
      </c>
      <c r="D91" s="3" t="str">
        <f t="shared" si="1"/>
        <v>Automotores</v>
      </c>
      <c r="E91" s="3" t="s">
        <v>77</v>
      </c>
      <c r="F91" s="5">
        <v>45992</v>
      </c>
      <c r="G91" s="15" t="s">
        <v>75</v>
      </c>
      <c r="H91" s="7">
        <v>0.63194444444444442</v>
      </c>
      <c r="I91" s="3" t="s">
        <v>88</v>
      </c>
      <c r="J91" s="3"/>
      <c r="K91" t="str">
        <f t="shared" si="2"/>
        <v xml:space="preserve">Metrología y Representación Gráfica - CM1 -  Alejandro José Leónides </v>
      </c>
    </row>
    <row r="92" spans="1:11" ht="15.75" customHeight="1">
      <c r="A92" s="15" t="s">
        <v>72</v>
      </c>
      <c r="B92" s="3" t="s">
        <v>27</v>
      </c>
      <c r="C92" s="15" t="s">
        <v>18</v>
      </c>
      <c r="D92" s="3" t="str">
        <f t="shared" si="1"/>
        <v>Automotores</v>
      </c>
      <c r="E92" s="3" t="s">
        <v>77</v>
      </c>
      <c r="F92" s="5">
        <v>45994</v>
      </c>
      <c r="G92" s="15" t="s">
        <v>74</v>
      </c>
      <c r="H92" s="7">
        <v>0.39583333333333331</v>
      </c>
      <c r="I92" s="3" t="s">
        <v>88</v>
      </c>
      <c r="J92" s="3"/>
      <c r="K92" t="str">
        <f t="shared" si="2"/>
        <v xml:space="preserve">Metrología y Representación Gráfica - RUE1 -  Alejandro José Leónides </v>
      </c>
    </row>
    <row r="93" spans="1:11" ht="15.75" customHeight="1">
      <c r="A93" s="15" t="s">
        <v>72</v>
      </c>
      <c r="B93" s="3" t="s">
        <v>30</v>
      </c>
      <c r="C93" s="15" t="s">
        <v>19</v>
      </c>
      <c r="D93" s="3" t="str">
        <f t="shared" si="1"/>
        <v>Automotores</v>
      </c>
      <c r="E93" s="13" t="s">
        <v>73</v>
      </c>
      <c r="F93" s="5">
        <v>45991</v>
      </c>
      <c r="G93" s="15" t="s">
        <v>75</v>
      </c>
      <c r="H93" s="7">
        <v>0.63194444444444442</v>
      </c>
      <c r="I93" s="3" t="s">
        <v>88</v>
      </c>
      <c r="J93" s="3"/>
      <c r="K93" t="str">
        <f t="shared" si="2"/>
        <v xml:space="preserve">Sistemas Hidráulicos y Neumáticos - CM1 -  Alejandro José Leónides </v>
      </c>
    </row>
    <row r="94" spans="1:11" ht="15.75" customHeight="1">
      <c r="A94" s="15" t="s">
        <v>72</v>
      </c>
      <c r="B94" s="3" t="s">
        <v>30</v>
      </c>
      <c r="C94" s="15" t="s">
        <v>20</v>
      </c>
      <c r="D94" s="3" t="str">
        <f t="shared" si="1"/>
        <v>Automotores</v>
      </c>
      <c r="E94" s="13" t="s">
        <v>73</v>
      </c>
      <c r="F94" s="5">
        <v>45993</v>
      </c>
      <c r="G94" s="15" t="s">
        <v>74</v>
      </c>
      <c r="H94" s="7">
        <v>0.2986111111111111</v>
      </c>
      <c r="I94" s="3" t="s">
        <v>88</v>
      </c>
      <c r="J94" s="3"/>
      <c r="K94" t="str">
        <f t="shared" si="2"/>
        <v xml:space="preserve">Sistemas Hidráulicos y Neumáticos - CM2 -  Alejandro José Leónides </v>
      </c>
    </row>
    <row r="95" spans="1:11" ht="15.75" customHeight="1">
      <c r="A95" s="15" t="s">
        <v>72</v>
      </c>
      <c r="B95" s="3" t="s">
        <v>30</v>
      </c>
      <c r="C95" s="15" t="s">
        <v>21</v>
      </c>
      <c r="D95" s="3" t="str">
        <f t="shared" si="1"/>
        <v>Automotores</v>
      </c>
      <c r="E95" s="13" t="s">
        <v>73</v>
      </c>
      <c r="F95" s="5">
        <v>45986</v>
      </c>
      <c r="G95" s="15" t="s">
        <v>74</v>
      </c>
      <c r="H95" s="7">
        <v>0.39583333333333331</v>
      </c>
      <c r="I95" s="3" t="s">
        <v>88</v>
      </c>
      <c r="J95" s="3"/>
      <c r="K95" t="str">
        <f t="shared" si="2"/>
        <v xml:space="preserve">Sistemas Hidráulicos y Neumáticos - CM3 -  Alejandro José Leónides </v>
      </c>
    </row>
    <row r="96" spans="1:11" ht="15.75" customHeight="1">
      <c r="A96" s="15" t="s">
        <v>72</v>
      </c>
      <c r="B96" s="3" t="s">
        <v>30</v>
      </c>
      <c r="C96" s="15" t="s">
        <v>19</v>
      </c>
      <c r="D96" s="3" t="str">
        <f t="shared" si="1"/>
        <v>Automotores</v>
      </c>
      <c r="E96" s="3" t="s">
        <v>77</v>
      </c>
      <c r="F96" s="5">
        <v>45992</v>
      </c>
      <c r="G96" s="15" t="s">
        <v>74</v>
      </c>
      <c r="H96" s="7">
        <v>0.2986111111111111</v>
      </c>
      <c r="I96" s="3" t="s">
        <v>88</v>
      </c>
      <c r="J96" s="3"/>
      <c r="K96" t="str">
        <f t="shared" si="2"/>
        <v xml:space="preserve">Sistemas Hidráulicos y Neumáticos - CM1 -  Alejandro José Leónides </v>
      </c>
    </row>
    <row r="97" spans="1:11" ht="15.75" customHeight="1">
      <c r="A97" s="15" t="s">
        <v>72</v>
      </c>
      <c r="B97" s="3" t="s">
        <v>30</v>
      </c>
      <c r="C97" s="15" t="s">
        <v>20</v>
      </c>
      <c r="D97" s="3" t="str">
        <f t="shared" si="1"/>
        <v>Automotores</v>
      </c>
      <c r="E97" s="3" t="s">
        <v>77</v>
      </c>
      <c r="F97" s="5">
        <v>46000</v>
      </c>
      <c r="G97" s="15" t="s">
        <v>74</v>
      </c>
      <c r="H97" s="7">
        <v>0.2986111111111111</v>
      </c>
      <c r="I97" s="3" t="s">
        <v>88</v>
      </c>
      <c r="J97" s="3"/>
      <c r="K97" t="str">
        <f t="shared" si="2"/>
        <v xml:space="preserve">Sistemas Hidráulicos y Neumáticos - CM2 -  Alejandro José Leónides </v>
      </c>
    </row>
    <row r="98" spans="1:11" ht="15.75" customHeight="1">
      <c r="A98" s="15" t="s">
        <v>72</v>
      </c>
      <c r="B98" s="3" t="s">
        <v>30</v>
      </c>
      <c r="C98" s="15" t="s">
        <v>21</v>
      </c>
      <c r="D98" s="3" t="str">
        <f t="shared" ref="D98:D161" si="3">"Automotores"</f>
        <v>Automotores</v>
      </c>
      <c r="E98" s="3" t="s">
        <v>77</v>
      </c>
      <c r="F98" s="5">
        <v>45993</v>
      </c>
      <c r="G98" s="15" t="s">
        <v>74</v>
      </c>
      <c r="H98" s="7">
        <v>0.2986111111111111</v>
      </c>
      <c r="I98" s="3" t="s">
        <v>88</v>
      </c>
      <c r="J98" s="3"/>
      <c r="K98" t="str">
        <f t="shared" si="2"/>
        <v xml:space="preserve">Sistemas Hidráulicos y Neumáticos - CM3 -  Alejandro José Leónides </v>
      </c>
    </row>
    <row r="99" spans="1:11" ht="15.75" customHeight="1">
      <c r="A99" s="15" t="s">
        <v>72</v>
      </c>
      <c r="B99" s="3" t="s">
        <v>30</v>
      </c>
      <c r="C99" s="15" t="s">
        <v>18</v>
      </c>
      <c r="D99" s="3" t="str">
        <f t="shared" si="3"/>
        <v>Automotores</v>
      </c>
      <c r="E99" s="13" t="s">
        <v>73</v>
      </c>
      <c r="F99" s="5">
        <v>45986</v>
      </c>
      <c r="G99" s="15" t="s">
        <v>75</v>
      </c>
      <c r="H99" s="7">
        <v>0.63194444444444442</v>
      </c>
      <c r="I99" s="3" t="s">
        <v>88</v>
      </c>
      <c r="J99" s="3"/>
      <c r="K99" t="str">
        <f t="shared" si="2"/>
        <v xml:space="preserve">Sistemas Hidráulicos y Neumáticos - RUE1 -  Alejandro José Leónides </v>
      </c>
    </row>
    <row r="100" spans="1:11" ht="15.75" customHeight="1">
      <c r="A100" s="15" t="s">
        <v>72</v>
      </c>
      <c r="B100" s="3" t="s">
        <v>30</v>
      </c>
      <c r="C100" s="15" t="s">
        <v>18</v>
      </c>
      <c r="D100" s="3" t="str">
        <f t="shared" si="3"/>
        <v>Automotores</v>
      </c>
      <c r="E100" s="3" t="s">
        <v>77</v>
      </c>
      <c r="F100" s="5">
        <v>46000</v>
      </c>
      <c r="G100" s="15" t="s">
        <v>75</v>
      </c>
      <c r="H100" s="7">
        <v>0.63194444444444442</v>
      </c>
      <c r="I100" s="3" t="s">
        <v>88</v>
      </c>
      <c r="J100" s="3"/>
      <c r="K100" t="str">
        <f t="shared" si="2"/>
        <v xml:space="preserve">Sistemas Hidráulicos y Neumáticos - RUE1 -  Alejandro José Leónides </v>
      </c>
    </row>
    <row r="101" spans="1:11" ht="15.75" customHeight="1">
      <c r="A101" s="15" t="s">
        <v>72</v>
      </c>
      <c r="B101" s="3" t="s">
        <v>30</v>
      </c>
      <c r="C101" s="15" t="s">
        <v>71</v>
      </c>
      <c r="D101" s="3" t="str">
        <f t="shared" si="3"/>
        <v>Automotores</v>
      </c>
      <c r="E101" s="13" t="s">
        <v>73</v>
      </c>
      <c r="F101" s="5">
        <v>45985</v>
      </c>
      <c r="G101" s="15" t="s">
        <v>74</v>
      </c>
      <c r="H101" s="7">
        <v>0.2986111111111111</v>
      </c>
      <c r="I101" s="13" t="s">
        <v>88</v>
      </c>
      <c r="J101" s="3"/>
      <c r="K101" t="str">
        <f t="shared" si="2"/>
        <v xml:space="preserve">Sistemas Hidráulicos y Neumáticos - ELEC1 -  Alejandro José Leónides </v>
      </c>
    </row>
    <row r="102" spans="1:11" ht="15.75" customHeight="1">
      <c r="A102" s="15" t="s">
        <v>72</v>
      </c>
      <c r="B102" s="3" t="s">
        <v>30</v>
      </c>
      <c r="C102" s="15" t="s">
        <v>71</v>
      </c>
      <c r="D102" s="3" t="str">
        <f t="shared" si="3"/>
        <v>Automotores</v>
      </c>
      <c r="E102" s="3" t="s">
        <v>77</v>
      </c>
      <c r="F102" s="5">
        <v>45992</v>
      </c>
      <c r="G102" s="15" t="s">
        <v>74</v>
      </c>
      <c r="H102" s="7">
        <v>0.2986111111111111</v>
      </c>
      <c r="I102" s="3" t="s">
        <v>88</v>
      </c>
      <c r="J102" s="3"/>
      <c r="K102" t="str">
        <f t="shared" si="2"/>
        <v xml:space="preserve">Sistemas Hidráulicos y Neumáticos - ELEC1 -  Alejandro José Leónides </v>
      </c>
    </row>
    <row r="103" spans="1:11" ht="15.75" customHeight="1">
      <c r="A103" s="15" t="s">
        <v>72</v>
      </c>
      <c r="B103" s="3" t="s">
        <v>32</v>
      </c>
      <c r="C103" s="15" t="s">
        <v>18</v>
      </c>
      <c r="D103" s="3" t="str">
        <f t="shared" si="3"/>
        <v>Automotores</v>
      </c>
      <c r="E103" s="13" t="s">
        <v>73</v>
      </c>
      <c r="F103" s="5">
        <v>45986</v>
      </c>
      <c r="G103" s="15" t="s">
        <v>74</v>
      </c>
      <c r="H103" s="7">
        <v>0.2986111111111111</v>
      </c>
      <c r="I103" s="3" t="s">
        <v>88</v>
      </c>
      <c r="J103" s="3"/>
      <c r="K103" t="str">
        <f t="shared" si="2"/>
        <v xml:space="preserve">Tecnología del Automotor - RUE1 -  Alejandro José Leónides </v>
      </c>
    </row>
    <row r="104" spans="1:11" ht="15.75" customHeight="1">
      <c r="A104" s="15" t="s">
        <v>72</v>
      </c>
      <c r="B104" s="3" t="s">
        <v>32</v>
      </c>
      <c r="C104" s="15" t="s">
        <v>18</v>
      </c>
      <c r="D104" s="3" t="str">
        <f t="shared" si="3"/>
        <v>Automotores</v>
      </c>
      <c r="E104" s="3" t="s">
        <v>77</v>
      </c>
      <c r="F104" s="5">
        <v>45993</v>
      </c>
      <c r="G104" s="15" t="s">
        <v>74</v>
      </c>
      <c r="H104" s="7">
        <v>0.2986111111111111</v>
      </c>
      <c r="I104" s="3" t="s">
        <v>88</v>
      </c>
      <c r="J104" s="3"/>
      <c r="K104" t="str">
        <f t="shared" si="2"/>
        <v xml:space="preserve">Tecnología del Automotor - RUE1 -  Alejandro José Leónides </v>
      </c>
    </row>
    <row r="105" spans="1:11" ht="15.75" customHeight="1">
      <c r="A105" s="15" t="s">
        <v>72</v>
      </c>
      <c r="B105" s="3" t="s">
        <v>31</v>
      </c>
      <c r="C105" s="15" t="s">
        <v>19</v>
      </c>
      <c r="D105" s="3" t="str">
        <f t="shared" si="3"/>
        <v>Automotores</v>
      </c>
      <c r="E105" s="13" t="s">
        <v>73</v>
      </c>
      <c r="F105" s="5">
        <v>45985</v>
      </c>
      <c r="G105" s="15" t="s">
        <v>74</v>
      </c>
      <c r="H105" s="7">
        <v>0.39583333333333331</v>
      </c>
      <c r="I105" s="3" t="s">
        <v>88</v>
      </c>
      <c r="J105" s="3"/>
      <c r="K105" t="str">
        <f t="shared" si="2"/>
        <v xml:space="preserve">Termodinámica y Motores de Combustión Interna I - CM1 -  Alejandro José Leónides </v>
      </c>
    </row>
    <row r="106" spans="1:11" ht="15.75" customHeight="1">
      <c r="A106" s="15" t="s">
        <v>72</v>
      </c>
      <c r="B106" s="3" t="s">
        <v>31</v>
      </c>
      <c r="C106" s="15" t="s">
        <v>19</v>
      </c>
      <c r="D106" s="3" t="str">
        <f t="shared" si="3"/>
        <v>Automotores</v>
      </c>
      <c r="E106" s="3" t="s">
        <v>77</v>
      </c>
      <c r="F106" s="5">
        <v>45992</v>
      </c>
      <c r="G106" s="15" t="s">
        <v>74</v>
      </c>
      <c r="H106" s="7">
        <v>0.39583333333333331</v>
      </c>
      <c r="I106" s="3" t="s">
        <v>88</v>
      </c>
      <c r="J106" s="3"/>
      <c r="K106" t="str">
        <f t="shared" si="2"/>
        <v xml:space="preserve">Termodinámica y Motores de Combustión Interna I - CM1 -  Alejandro José Leónides </v>
      </c>
    </row>
    <row r="107" spans="1:11" ht="15.75" customHeight="1">
      <c r="A107" s="15" t="s">
        <v>72</v>
      </c>
      <c r="B107" s="3" t="s">
        <v>2</v>
      </c>
      <c r="C107" s="15" t="s">
        <v>17</v>
      </c>
      <c r="D107" s="3" t="str">
        <f t="shared" si="3"/>
        <v>Automotores</v>
      </c>
      <c r="E107" s="13" t="s">
        <v>73</v>
      </c>
      <c r="F107" s="5">
        <v>45987</v>
      </c>
      <c r="G107" s="15" t="s">
        <v>74</v>
      </c>
      <c r="H107" s="7">
        <v>0.39583333333333331</v>
      </c>
      <c r="I107" s="13" t="s">
        <v>89</v>
      </c>
      <c r="J107" s="3"/>
      <c r="K107" t="str">
        <f t="shared" si="2"/>
        <v xml:space="preserve">Inglés I - ING1 -  Marina Paula </v>
      </c>
    </row>
    <row r="108" spans="1:11" ht="15.75" customHeight="1">
      <c r="A108" s="15" t="s">
        <v>72</v>
      </c>
      <c r="B108" s="3" t="s">
        <v>2</v>
      </c>
      <c r="C108" s="15" t="s">
        <v>17</v>
      </c>
      <c r="D108" s="3" t="str">
        <f t="shared" si="3"/>
        <v>Automotores</v>
      </c>
      <c r="E108" s="3" t="s">
        <v>77</v>
      </c>
      <c r="F108" s="5">
        <v>45994</v>
      </c>
      <c r="G108" s="15" t="s">
        <v>74</v>
      </c>
      <c r="H108" s="7">
        <v>0.39583333333333331</v>
      </c>
      <c r="I108" s="3" t="s">
        <v>89</v>
      </c>
      <c r="J108" s="3"/>
      <c r="K108" t="str">
        <f t="shared" si="2"/>
        <v xml:space="preserve">Inglés I - ING1 -  Marina Paula </v>
      </c>
    </row>
    <row r="109" spans="1:11" ht="15.75" customHeight="1">
      <c r="A109" s="15" t="s">
        <v>72</v>
      </c>
      <c r="B109" s="3" t="s">
        <v>2</v>
      </c>
      <c r="C109" s="15" t="s">
        <v>16</v>
      </c>
      <c r="D109" s="3" t="str">
        <f t="shared" si="3"/>
        <v>Automotores</v>
      </c>
      <c r="E109" s="13" t="s">
        <v>73</v>
      </c>
      <c r="F109" s="5">
        <v>45987</v>
      </c>
      <c r="G109" s="15" t="s">
        <v>74</v>
      </c>
      <c r="H109" s="7">
        <v>0.39583333333333331</v>
      </c>
      <c r="I109" s="13" t="s">
        <v>89</v>
      </c>
      <c r="J109" s="3"/>
      <c r="K109" t="str">
        <f t="shared" si="2"/>
        <v xml:space="preserve">Inglés I - ORU1 -  Marina Paula </v>
      </c>
    </row>
    <row r="110" spans="1:11" ht="15.75" customHeight="1">
      <c r="A110" s="15" t="s">
        <v>72</v>
      </c>
      <c r="B110" s="3" t="s">
        <v>2</v>
      </c>
      <c r="C110" s="15" t="s">
        <v>16</v>
      </c>
      <c r="D110" s="3" t="str">
        <f t="shared" si="3"/>
        <v>Automotores</v>
      </c>
      <c r="E110" s="3" t="s">
        <v>77</v>
      </c>
      <c r="F110" s="5">
        <v>45994</v>
      </c>
      <c r="G110" s="15" t="s">
        <v>74</v>
      </c>
      <c r="H110" s="7">
        <v>0.39583333333333331</v>
      </c>
      <c r="I110" s="3" t="s">
        <v>89</v>
      </c>
      <c r="J110" s="3"/>
      <c r="K110" t="str">
        <f t="shared" si="2"/>
        <v xml:space="preserve">Inglés I - ORU1 -  Marina Paula </v>
      </c>
    </row>
    <row r="111" spans="1:11" ht="13.2">
      <c r="A111" s="15" t="s">
        <v>78</v>
      </c>
      <c r="B111" s="3" t="s">
        <v>4</v>
      </c>
      <c r="C111" s="15" t="s">
        <v>23</v>
      </c>
      <c r="D111" s="3" t="str">
        <f t="shared" si="3"/>
        <v>Automotores</v>
      </c>
      <c r="E111" s="3" t="s">
        <v>73</v>
      </c>
      <c r="F111" s="5">
        <v>45985</v>
      </c>
      <c r="G111" s="15" t="s">
        <v>74</v>
      </c>
      <c r="H111" s="7">
        <v>0.2986111111111111</v>
      </c>
      <c r="I111" s="3" t="s">
        <v>89</v>
      </c>
      <c r="J111" s="3"/>
      <c r="K111" t="str">
        <f t="shared" si="2"/>
        <v xml:space="preserve">Inglés II - ING2 -  Marina Paula </v>
      </c>
    </row>
    <row r="112" spans="1:11" ht="20.7" customHeight="1">
      <c r="A112" s="15" t="s">
        <v>78</v>
      </c>
      <c r="B112" s="3" t="s">
        <v>4</v>
      </c>
      <c r="C112" s="15" t="s">
        <v>23</v>
      </c>
      <c r="D112" s="3" t="str">
        <f t="shared" si="3"/>
        <v>Automotores</v>
      </c>
      <c r="E112" s="3" t="s">
        <v>77</v>
      </c>
      <c r="F112" s="5">
        <v>45992</v>
      </c>
      <c r="G112" s="15" t="s">
        <v>74</v>
      </c>
      <c r="H112" s="7">
        <v>0.2986111111111111</v>
      </c>
      <c r="I112" s="3" t="s">
        <v>89</v>
      </c>
      <c r="J112" s="3"/>
      <c r="K112" t="str">
        <f t="shared" si="2"/>
        <v xml:space="preserve">Inglés II - ING2 -  Marina Paula </v>
      </c>
    </row>
    <row r="113" spans="1:11" ht="15.75" customHeight="1">
      <c r="A113" s="15" t="s">
        <v>78</v>
      </c>
      <c r="B113" s="3" t="s">
        <v>4</v>
      </c>
      <c r="C113" s="15" t="s">
        <v>23</v>
      </c>
      <c r="D113" s="3" t="str">
        <f t="shared" si="3"/>
        <v>Automotores</v>
      </c>
      <c r="E113" s="3" t="s">
        <v>79</v>
      </c>
      <c r="F113" s="5">
        <v>46001</v>
      </c>
      <c r="G113" s="15" t="s">
        <v>74</v>
      </c>
      <c r="H113" s="7">
        <v>0.39583333333333331</v>
      </c>
      <c r="I113" s="3" t="s">
        <v>89</v>
      </c>
      <c r="J113" s="3"/>
      <c r="K113" t="str">
        <f t="shared" si="2"/>
        <v xml:space="preserve">Inglés II - ING2 -  Marina Paula </v>
      </c>
    </row>
    <row r="114" spans="1:11" ht="15.75" customHeight="1">
      <c r="A114" s="15" t="s">
        <v>78</v>
      </c>
      <c r="B114" s="3" t="s">
        <v>4</v>
      </c>
      <c r="C114" s="15" t="s">
        <v>22</v>
      </c>
      <c r="D114" s="3" t="str">
        <f t="shared" si="3"/>
        <v>Automotores</v>
      </c>
      <c r="E114" s="3" t="s">
        <v>73</v>
      </c>
      <c r="F114" s="5">
        <v>45985</v>
      </c>
      <c r="G114" s="15" t="s">
        <v>74</v>
      </c>
      <c r="H114" s="7">
        <v>0.2986111111111111</v>
      </c>
      <c r="I114" s="3" t="s">
        <v>89</v>
      </c>
      <c r="J114" s="3"/>
      <c r="K114" t="str">
        <f t="shared" si="2"/>
        <v xml:space="preserve">Inglés II - ORU2 -  Marina Paula </v>
      </c>
    </row>
    <row r="115" spans="1:11" ht="15.75" customHeight="1">
      <c r="A115" s="15" t="s">
        <v>78</v>
      </c>
      <c r="B115" s="3" t="s">
        <v>4</v>
      </c>
      <c r="C115" s="15" t="s">
        <v>22</v>
      </c>
      <c r="D115" s="3" t="str">
        <f t="shared" si="3"/>
        <v>Automotores</v>
      </c>
      <c r="E115" s="3" t="s">
        <v>77</v>
      </c>
      <c r="F115" s="5">
        <v>45992</v>
      </c>
      <c r="G115" s="15" t="s">
        <v>74</v>
      </c>
      <c r="H115" s="7">
        <v>0.2986111111111111</v>
      </c>
      <c r="I115" s="3" t="s">
        <v>89</v>
      </c>
      <c r="J115" s="3"/>
      <c r="K115" t="str">
        <f t="shared" si="2"/>
        <v xml:space="preserve">Inglés II - ORU2 -  Marina Paula </v>
      </c>
    </row>
    <row r="116" spans="1:11" ht="15.75" customHeight="1">
      <c r="A116" s="15" t="s">
        <v>78</v>
      </c>
      <c r="B116" s="3" t="s">
        <v>4</v>
      </c>
      <c r="C116" s="15" t="s">
        <v>22</v>
      </c>
      <c r="D116" s="3" t="str">
        <f t="shared" si="3"/>
        <v>Automotores</v>
      </c>
      <c r="E116" s="3" t="s">
        <v>79</v>
      </c>
      <c r="F116" s="5">
        <v>46001</v>
      </c>
      <c r="G116" s="15" t="s">
        <v>74</v>
      </c>
      <c r="H116" s="7">
        <v>0.39583333333333331</v>
      </c>
      <c r="I116" s="3" t="s">
        <v>89</v>
      </c>
      <c r="J116" s="3"/>
      <c r="K116" t="str">
        <f t="shared" si="2"/>
        <v xml:space="preserve">Inglés II - ORU2 -  Marina Paula </v>
      </c>
    </row>
    <row r="117" spans="1:11" ht="15.75" customHeight="1">
      <c r="A117" s="15" t="s">
        <v>78</v>
      </c>
      <c r="B117" s="3" t="s">
        <v>4</v>
      </c>
      <c r="C117" s="15" t="s">
        <v>70</v>
      </c>
      <c r="D117" s="3" t="str">
        <f t="shared" si="3"/>
        <v>Automotores</v>
      </c>
      <c r="E117" s="3" t="s">
        <v>73</v>
      </c>
      <c r="F117" s="5">
        <v>45985</v>
      </c>
      <c r="G117" s="15" t="s">
        <v>74</v>
      </c>
      <c r="H117" s="7">
        <v>0.2986111111111111</v>
      </c>
      <c r="I117" s="3" t="s">
        <v>89</v>
      </c>
      <c r="J117" s="3"/>
      <c r="K117" t="str">
        <f t="shared" si="2"/>
        <v xml:space="preserve">Inglés II - ELEC2 -  Marina Paula </v>
      </c>
    </row>
    <row r="118" spans="1:11" ht="15.75" customHeight="1">
      <c r="A118" s="15" t="s">
        <v>78</v>
      </c>
      <c r="B118" s="3" t="s">
        <v>4</v>
      </c>
      <c r="C118" s="15" t="s">
        <v>70</v>
      </c>
      <c r="D118" s="3" t="str">
        <f t="shared" si="3"/>
        <v>Automotores</v>
      </c>
      <c r="E118" s="3" t="s">
        <v>77</v>
      </c>
      <c r="F118" s="5">
        <v>45992</v>
      </c>
      <c r="G118" s="15" t="s">
        <v>74</v>
      </c>
      <c r="H118" s="7">
        <v>0.2986111111111111</v>
      </c>
      <c r="I118" s="3" t="s">
        <v>89</v>
      </c>
      <c r="J118" s="3"/>
      <c r="K118" t="str">
        <f t="shared" si="2"/>
        <v xml:space="preserve">Inglés II - ELEC2 -  Marina Paula </v>
      </c>
    </row>
    <row r="119" spans="1:11" ht="15.75" customHeight="1">
      <c r="A119" s="15" t="s">
        <v>78</v>
      </c>
      <c r="B119" s="3" t="s">
        <v>4</v>
      </c>
      <c r="C119" s="15" t="s">
        <v>70</v>
      </c>
      <c r="D119" s="3" t="str">
        <f t="shared" si="3"/>
        <v>Automotores</v>
      </c>
      <c r="E119" s="3" t="s">
        <v>79</v>
      </c>
      <c r="F119" s="5">
        <v>46001</v>
      </c>
      <c r="G119" s="15" t="s">
        <v>74</v>
      </c>
      <c r="H119" s="7">
        <v>0.39583333333333331</v>
      </c>
      <c r="I119" s="3" t="s">
        <v>89</v>
      </c>
      <c r="J119" s="3"/>
      <c r="K119" t="str">
        <f t="shared" si="2"/>
        <v xml:space="preserve">Inglés II - ELEC2 -  Marina Paula </v>
      </c>
    </row>
    <row r="120" spans="1:11" ht="15.75" customHeight="1">
      <c r="A120" s="15" t="s">
        <v>72</v>
      </c>
      <c r="B120" s="3" t="s">
        <v>28</v>
      </c>
      <c r="C120" s="15" t="s">
        <v>20</v>
      </c>
      <c r="D120" s="3" t="str">
        <f t="shared" si="3"/>
        <v>Automotores</v>
      </c>
      <c r="E120" s="13" t="s">
        <v>73</v>
      </c>
      <c r="F120" s="5">
        <v>45987</v>
      </c>
      <c r="G120" s="15" t="s">
        <v>74</v>
      </c>
      <c r="H120" s="7">
        <v>0.2986111111111111</v>
      </c>
      <c r="I120" s="3" t="s">
        <v>90</v>
      </c>
      <c r="J120" s="3"/>
      <c r="K120" t="str">
        <f t="shared" si="2"/>
        <v xml:space="preserve">Seguridad e Higiene en el Trabajo - CM2 -  Noelia Cecilia </v>
      </c>
    </row>
    <row r="121" spans="1:11" ht="15.75" customHeight="1">
      <c r="A121" s="15" t="s">
        <v>72</v>
      </c>
      <c r="B121" s="3" t="s">
        <v>28</v>
      </c>
      <c r="C121" s="15" t="s">
        <v>20</v>
      </c>
      <c r="D121" s="3" t="str">
        <f t="shared" si="3"/>
        <v>Automotores</v>
      </c>
      <c r="E121" s="3" t="s">
        <v>77</v>
      </c>
      <c r="F121" s="5">
        <v>46001</v>
      </c>
      <c r="G121" s="15" t="s">
        <v>74</v>
      </c>
      <c r="H121" s="7">
        <v>0.2986111111111111</v>
      </c>
      <c r="I121" s="3" t="s">
        <v>90</v>
      </c>
      <c r="J121" s="3"/>
      <c r="K121" t="str">
        <f t="shared" si="2"/>
        <v xml:space="preserve">Seguridad e Higiene en el Trabajo - CM2 -  Noelia Cecilia </v>
      </c>
    </row>
    <row r="122" spans="1:11" ht="15.75" customHeight="1">
      <c r="A122" s="15" t="s">
        <v>72</v>
      </c>
      <c r="B122" s="3" t="s">
        <v>29</v>
      </c>
      <c r="C122" s="15" t="s">
        <v>19</v>
      </c>
      <c r="D122" s="3" t="str">
        <f t="shared" si="3"/>
        <v>Automotores</v>
      </c>
      <c r="E122" s="13" t="s">
        <v>73</v>
      </c>
      <c r="F122" s="5">
        <v>45987</v>
      </c>
      <c r="G122" s="15" t="s">
        <v>74</v>
      </c>
      <c r="H122" s="7">
        <v>0.39583333333333331</v>
      </c>
      <c r="I122" s="3" t="s">
        <v>91</v>
      </c>
      <c r="J122" s="3"/>
      <c r="K122" t="str">
        <f t="shared" si="2"/>
        <v>Régimen Funcional de Arsenales - CM1 -  José Oscar</v>
      </c>
    </row>
    <row r="123" spans="1:11" ht="15.75" customHeight="1">
      <c r="A123" s="15" t="s">
        <v>72</v>
      </c>
      <c r="B123" s="3" t="s">
        <v>29</v>
      </c>
      <c r="C123" s="15" t="s">
        <v>19</v>
      </c>
      <c r="D123" s="3" t="str">
        <f t="shared" si="3"/>
        <v>Automotores</v>
      </c>
      <c r="E123" s="3" t="s">
        <v>77</v>
      </c>
      <c r="F123" s="5">
        <v>46000</v>
      </c>
      <c r="G123" s="15" t="s">
        <v>74</v>
      </c>
      <c r="H123" s="7">
        <v>0.2986111111111111</v>
      </c>
      <c r="I123" s="3" t="s">
        <v>91</v>
      </c>
      <c r="J123" s="3"/>
      <c r="K123" t="str">
        <f t="shared" si="2"/>
        <v>Régimen Funcional de Arsenales - CM1 -  José Oscar</v>
      </c>
    </row>
    <row r="124" spans="1:11" ht="15.75" customHeight="1">
      <c r="A124" s="15" t="s">
        <v>72</v>
      </c>
      <c r="B124" s="3" t="s">
        <v>29</v>
      </c>
      <c r="C124" s="15" t="s">
        <v>71</v>
      </c>
      <c r="D124" s="3" t="str">
        <f t="shared" si="3"/>
        <v>Automotores</v>
      </c>
      <c r="E124" s="13" t="s">
        <v>73</v>
      </c>
      <c r="F124" s="5">
        <v>45986</v>
      </c>
      <c r="G124" s="15" t="s">
        <v>74</v>
      </c>
      <c r="H124" s="7">
        <v>0.2986111111111111</v>
      </c>
      <c r="I124" s="13" t="s">
        <v>91</v>
      </c>
      <c r="J124" s="3"/>
      <c r="K124" t="str">
        <f t="shared" si="2"/>
        <v>Régimen Funcional de Arsenales - ELEC1 -  José Oscar</v>
      </c>
    </row>
    <row r="125" spans="1:11" ht="15.75" customHeight="1">
      <c r="A125" s="15" t="s">
        <v>72</v>
      </c>
      <c r="B125" s="3" t="s">
        <v>29</v>
      </c>
      <c r="C125" s="15" t="s">
        <v>71</v>
      </c>
      <c r="D125" s="3" t="str">
        <f t="shared" si="3"/>
        <v>Automotores</v>
      </c>
      <c r="E125" s="3" t="s">
        <v>77</v>
      </c>
      <c r="F125" s="5">
        <v>46000</v>
      </c>
      <c r="G125" s="15" t="s">
        <v>74</v>
      </c>
      <c r="H125" s="7">
        <v>0.2986111111111111</v>
      </c>
      <c r="I125" s="3" t="s">
        <v>91</v>
      </c>
      <c r="J125" s="3"/>
      <c r="K125" t="str">
        <f t="shared" si="2"/>
        <v>Régimen Funcional de Arsenales - ELEC1 -  José Oscar</v>
      </c>
    </row>
    <row r="126" spans="1:11" ht="15.75" customHeight="1">
      <c r="A126" s="15" t="s">
        <v>78</v>
      </c>
      <c r="B126" s="3" t="s">
        <v>58</v>
      </c>
      <c r="C126" s="15" t="s">
        <v>70</v>
      </c>
      <c r="D126" s="3" t="str">
        <f t="shared" si="3"/>
        <v>Automotores</v>
      </c>
      <c r="E126" s="3" t="s">
        <v>73</v>
      </c>
      <c r="F126" s="5">
        <v>45980</v>
      </c>
      <c r="G126" s="15" t="s">
        <v>74</v>
      </c>
      <c r="H126" s="7">
        <v>0.29861111109999999</v>
      </c>
      <c r="I126" s="3" t="s">
        <v>91</v>
      </c>
      <c r="J126" s="3"/>
      <c r="K126" t="str">
        <f t="shared" si="2"/>
        <v>Técnicas y Metodologías de Mantenimiento en los Sistemas Eléctricos y Electrónicos de Automotores - ELEC2 -  José Oscar</v>
      </c>
    </row>
    <row r="127" spans="1:11" ht="15.75" customHeight="1">
      <c r="A127" s="15" t="s">
        <v>78</v>
      </c>
      <c r="B127" s="3" t="s">
        <v>58</v>
      </c>
      <c r="C127" s="15" t="s">
        <v>70</v>
      </c>
      <c r="D127" s="3" t="str">
        <f t="shared" si="3"/>
        <v>Automotores</v>
      </c>
      <c r="E127" s="3" t="s">
        <v>77</v>
      </c>
      <c r="F127" s="5">
        <v>45992</v>
      </c>
      <c r="G127" s="15" t="s">
        <v>75</v>
      </c>
      <c r="H127" s="7">
        <v>0.63194444439999997</v>
      </c>
      <c r="I127" s="3" t="s">
        <v>91</v>
      </c>
      <c r="J127" s="3"/>
      <c r="K127" t="str">
        <f t="shared" si="2"/>
        <v>Técnicas y Metodologías de Mantenimiento en los Sistemas Eléctricos y Electrónicos de Automotores - ELEC2 -  José Oscar</v>
      </c>
    </row>
    <row r="128" spans="1:11" ht="15.75" customHeight="1">
      <c r="A128" s="15" t="s">
        <v>78</v>
      </c>
      <c r="B128" s="3" t="s">
        <v>58</v>
      </c>
      <c r="C128" s="15" t="s">
        <v>70</v>
      </c>
      <c r="D128" s="3" t="str">
        <f t="shared" si="3"/>
        <v>Automotores</v>
      </c>
      <c r="E128" s="3" t="s">
        <v>79</v>
      </c>
      <c r="F128" s="5">
        <v>46001</v>
      </c>
      <c r="G128" s="15" t="s">
        <v>74</v>
      </c>
      <c r="H128" s="7">
        <v>0.29861111109999999</v>
      </c>
      <c r="I128" s="3" t="s">
        <v>91</v>
      </c>
      <c r="J128" s="3"/>
      <c r="K128" t="str">
        <f t="shared" si="2"/>
        <v>Técnicas y Metodologías de Mantenimiento en los Sistemas Eléctricos y Electrónicos de Automotores - ELEC2 -  José Oscar</v>
      </c>
    </row>
    <row r="129" spans="1:11" ht="15.75" customHeight="1">
      <c r="A129" s="15" t="s">
        <v>78</v>
      </c>
      <c r="B129" s="3" t="s">
        <v>53</v>
      </c>
      <c r="C129" s="15" t="s">
        <v>70</v>
      </c>
      <c r="D129" s="3" t="str">
        <f t="shared" si="3"/>
        <v>Automotores</v>
      </c>
      <c r="E129" s="3" t="s">
        <v>73</v>
      </c>
      <c r="F129" s="5">
        <v>45991</v>
      </c>
      <c r="G129" s="15" t="s">
        <v>75</v>
      </c>
      <c r="H129" s="7">
        <v>0.63194444439999997</v>
      </c>
      <c r="I129" s="3" t="s">
        <v>91</v>
      </c>
      <c r="J129" s="3"/>
      <c r="K129" t="str">
        <f t="shared" si="2"/>
        <v>Tecnologías de los Sistemas Eléctricos y Electrónicos del Automotor - ELEC2 -  José Oscar</v>
      </c>
    </row>
    <row r="130" spans="1:11" ht="15.75" customHeight="1">
      <c r="A130" s="15" t="s">
        <v>78</v>
      </c>
      <c r="B130" s="3" t="s">
        <v>53</v>
      </c>
      <c r="C130" s="15" t="s">
        <v>70</v>
      </c>
      <c r="D130" s="3" t="str">
        <f t="shared" si="3"/>
        <v>Automotores</v>
      </c>
      <c r="E130" s="3" t="s">
        <v>77</v>
      </c>
      <c r="F130" s="5">
        <v>45994</v>
      </c>
      <c r="G130" s="15" t="s">
        <v>74</v>
      </c>
      <c r="H130" s="7">
        <v>0.29861111109999999</v>
      </c>
      <c r="I130" s="3" t="s">
        <v>91</v>
      </c>
      <c r="J130" s="3"/>
      <c r="K130" t="str">
        <f t="shared" ref="K130:K193" si="4">B130&amp;" - "&amp;C130&amp;" - "&amp;I130</f>
        <v>Tecnologías de los Sistemas Eléctricos y Electrónicos del Automotor - ELEC2 -  José Oscar</v>
      </c>
    </row>
    <row r="131" spans="1:11" ht="15.75" customHeight="1">
      <c r="A131" s="15" t="s">
        <v>78</v>
      </c>
      <c r="B131" s="3" t="s">
        <v>53</v>
      </c>
      <c r="C131" s="15" t="s">
        <v>70</v>
      </c>
      <c r="D131" s="3" t="str">
        <f t="shared" si="3"/>
        <v>Automotores</v>
      </c>
      <c r="E131" s="3" t="s">
        <v>79</v>
      </c>
      <c r="F131" s="5">
        <v>46001</v>
      </c>
      <c r="G131" s="15" t="s">
        <v>75</v>
      </c>
      <c r="H131" s="7">
        <v>0.63194444439999997</v>
      </c>
      <c r="I131" s="3" t="s">
        <v>91</v>
      </c>
      <c r="J131" s="3"/>
      <c r="K131" t="str">
        <f t="shared" si="4"/>
        <v>Tecnologías de los Sistemas Eléctricos y Electrónicos del Automotor - ELEC2 -  José Oscar</v>
      </c>
    </row>
    <row r="132" spans="1:11" ht="15.75" customHeight="1">
      <c r="A132" s="15" t="s">
        <v>78</v>
      </c>
      <c r="B132" s="3" t="s">
        <v>47</v>
      </c>
      <c r="C132" s="15" t="s">
        <v>22</v>
      </c>
      <c r="D132" s="3" t="str">
        <f t="shared" si="3"/>
        <v>Automotores</v>
      </c>
      <c r="E132" s="3" t="s">
        <v>73</v>
      </c>
      <c r="F132" s="5">
        <v>45991</v>
      </c>
      <c r="G132" s="15" t="s">
        <v>75</v>
      </c>
      <c r="H132" s="7">
        <v>0.63194444439999997</v>
      </c>
      <c r="I132" s="3"/>
      <c r="J132" s="3"/>
      <c r="K132" t="str">
        <f t="shared" si="4"/>
        <v xml:space="preserve">Sistemas Mecánicos en Vehículos Blindados - ORU2 - </v>
      </c>
    </row>
    <row r="133" spans="1:11" ht="15.75" customHeight="1">
      <c r="A133" s="15" t="s">
        <v>78</v>
      </c>
      <c r="B133" s="3" t="s">
        <v>47</v>
      </c>
      <c r="C133" s="15" t="s">
        <v>22</v>
      </c>
      <c r="D133" s="3" t="str">
        <f t="shared" si="3"/>
        <v>Automotores</v>
      </c>
      <c r="E133" s="3" t="s">
        <v>77</v>
      </c>
      <c r="F133" s="5">
        <v>45992</v>
      </c>
      <c r="G133" s="15" t="s">
        <v>75</v>
      </c>
      <c r="H133" s="7">
        <v>0.63194444439999997</v>
      </c>
      <c r="I133" s="3"/>
      <c r="J133" s="3"/>
      <c r="K133" t="str">
        <f t="shared" si="4"/>
        <v xml:space="preserve">Sistemas Mecánicos en Vehículos Blindados - ORU2 - </v>
      </c>
    </row>
    <row r="134" spans="1:11" ht="15.75" customHeight="1">
      <c r="A134" s="15" t="s">
        <v>78</v>
      </c>
      <c r="B134" s="3" t="s">
        <v>47</v>
      </c>
      <c r="C134" s="15" t="s">
        <v>22</v>
      </c>
      <c r="D134" s="3" t="str">
        <f t="shared" si="3"/>
        <v>Automotores</v>
      </c>
      <c r="E134" s="3" t="s">
        <v>79</v>
      </c>
      <c r="F134" s="5">
        <v>46000</v>
      </c>
      <c r="G134" s="15" t="s">
        <v>74</v>
      </c>
      <c r="H134" s="7">
        <v>0.39583333329999998</v>
      </c>
      <c r="I134" s="3"/>
      <c r="J134" s="3"/>
      <c r="K134" t="str">
        <f t="shared" si="4"/>
        <v xml:space="preserve">Sistemas Mecánicos en Vehículos Blindados - ORU2 - </v>
      </c>
    </row>
    <row r="135" spans="1:11" ht="15.75" customHeight="1">
      <c r="A135" s="15" t="s">
        <v>78</v>
      </c>
      <c r="B135" s="3" t="s">
        <v>57</v>
      </c>
      <c r="C135" s="15" t="s">
        <v>22</v>
      </c>
      <c r="D135" s="3" t="str">
        <f t="shared" si="3"/>
        <v>Automotores</v>
      </c>
      <c r="E135" s="3" t="s">
        <v>73</v>
      </c>
      <c r="F135" s="5">
        <v>45980</v>
      </c>
      <c r="G135" s="15" t="s">
        <v>74</v>
      </c>
      <c r="H135" s="7">
        <v>0.29861111109999999</v>
      </c>
      <c r="I135" s="3"/>
      <c r="J135" s="3"/>
      <c r="K135" t="str">
        <f t="shared" si="4"/>
        <v xml:space="preserve">Técnicas y Metodologías de Mantenimiento en Vehículos Blindados - ORU2 - </v>
      </c>
    </row>
    <row r="136" spans="1:11" ht="15.75" customHeight="1">
      <c r="A136" s="15" t="s">
        <v>78</v>
      </c>
      <c r="B136" s="3" t="s">
        <v>57</v>
      </c>
      <c r="C136" s="15" t="s">
        <v>22</v>
      </c>
      <c r="D136" s="3" t="str">
        <f t="shared" si="3"/>
        <v>Automotores</v>
      </c>
      <c r="E136" s="3" t="s">
        <v>77</v>
      </c>
      <c r="F136" s="5">
        <v>45993</v>
      </c>
      <c r="G136" s="15" t="s">
        <v>74</v>
      </c>
      <c r="H136" s="7">
        <v>0.29861111109999999</v>
      </c>
      <c r="I136" s="3"/>
      <c r="J136" s="3"/>
      <c r="K136" t="str">
        <f t="shared" si="4"/>
        <v xml:space="preserve">Técnicas y Metodologías de Mantenimiento en Vehículos Blindados - ORU2 - </v>
      </c>
    </row>
    <row r="137" spans="1:11" ht="15.75" customHeight="1">
      <c r="A137" s="15" t="s">
        <v>78</v>
      </c>
      <c r="B137" s="3" t="s">
        <v>57</v>
      </c>
      <c r="C137" s="15" t="s">
        <v>22</v>
      </c>
      <c r="D137" s="3" t="str">
        <f t="shared" si="3"/>
        <v>Automotores</v>
      </c>
      <c r="E137" s="3" t="s">
        <v>79</v>
      </c>
      <c r="F137" s="5">
        <v>46001</v>
      </c>
      <c r="G137" s="15" t="s">
        <v>74</v>
      </c>
      <c r="H137" s="7">
        <v>0.29861111109999999</v>
      </c>
      <c r="I137" s="3"/>
      <c r="J137" s="3"/>
      <c r="K137" t="str">
        <f t="shared" si="4"/>
        <v xml:space="preserve">Técnicas y Metodologías de Mantenimiento en Vehículos Blindados - ORU2 - </v>
      </c>
    </row>
    <row r="138" spans="1:11" ht="15.75" customHeight="1">
      <c r="A138" s="15" t="s">
        <v>78</v>
      </c>
      <c r="B138" s="3" t="s">
        <v>52</v>
      </c>
      <c r="C138" s="15" t="s">
        <v>22</v>
      </c>
      <c r="D138" s="3" t="str">
        <f t="shared" si="3"/>
        <v>Automotores</v>
      </c>
      <c r="E138" s="3" t="s">
        <v>73</v>
      </c>
      <c r="F138" s="5">
        <v>45985</v>
      </c>
      <c r="G138" s="15" t="s">
        <v>75</v>
      </c>
      <c r="H138" s="7">
        <v>0.63194444439999997</v>
      </c>
      <c r="I138" s="3"/>
      <c r="J138" s="3"/>
      <c r="K138" t="str">
        <f t="shared" si="4"/>
        <v xml:space="preserve">Tecnologías de Vehículos Blindados - ORU2 - </v>
      </c>
    </row>
    <row r="139" spans="1:11" ht="15.75" customHeight="1">
      <c r="A139" s="15" t="s">
        <v>78</v>
      </c>
      <c r="B139" s="3" t="s">
        <v>52</v>
      </c>
      <c r="C139" s="15" t="s">
        <v>22</v>
      </c>
      <c r="D139" s="3" t="str">
        <f t="shared" si="3"/>
        <v>Automotores</v>
      </c>
      <c r="E139" s="3" t="s">
        <v>77</v>
      </c>
      <c r="F139" s="5">
        <v>45992</v>
      </c>
      <c r="G139" s="15" t="s">
        <v>74</v>
      </c>
      <c r="H139" s="7">
        <v>0.39583333329999998</v>
      </c>
      <c r="I139" s="3"/>
      <c r="J139" s="3"/>
      <c r="K139" t="str">
        <f t="shared" si="4"/>
        <v xml:space="preserve">Tecnologías de Vehículos Blindados - ORU2 - </v>
      </c>
    </row>
    <row r="140" spans="1:11" ht="15.75" customHeight="1">
      <c r="A140" s="15" t="s">
        <v>78</v>
      </c>
      <c r="B140" s="3" t="s">
        <v>52</v>
      </c>
      <c r="C140" s="15" t="s">
        <v>22</v>
      </c>
      <c r="D140" s="3" t="str">
        <f t="shared" si="3"/>
        <v>Automotores</v>
      </c>
      <c r="E140" s="3" t="s">
        <v>79</v>
      </c>
      <c r="F140" s="5">
        <v>46000</v>
      </c>
      <c r="G140" s="15" t="s">
        <v>74</v>
      </c>
      <c r="H140" s="7">
        <v>0.29861111109999999</v>
      </c>
      <c r="I140" s="3"/>
      <c r="J140" s="3"/>
      <c r="K140" t="str">
        <f t="shared" si="4"/>
        <v xml:space="preserve">Tecnologías de Vehículos Blindados - ORU2 - </v>
      </c>
    </row>
    <row r="141" spans="1:11" ht="15.75" customHeight="1">
      <c r="A141" s="15" t="s">
        <v>78</v>
      </c>
      <c r="B141" s="3" t="s">
        <v>62</v>
      </c>
      <c r="C141" s="15" t="s">
        <v>22</v>
      </c>
      <c r="D141" s="3" t="str">
        <f t="shared" si="3"/>
        <v>Automotores</v>
      </c>
      <c r="E141" s="3" t="s">
        <v>73</v>
      </c>
      <c r="F141" s="5">
        <v>45986</v>
      </c>
      <c r="G141" s="15" t="s">
        <v>74</v>
      </c>
      <c r="H141" s="7">
        <v>0.29861111109999999</v>
      </c>
      <c r="I141" s="3"/>
      <c r="J141" s="3"/>
      <c r="K141" t="str">
        <f t="shared" si="4"/>
        <v xml:space="preserve">Sistemas Eléctricos y Electrónicos en Vehículos Blindados - ORU2 - </v>
      </c>
    </row>
    <row r="142" spans="1:11" ht="13.2">
      <c r="A142" s="15" t="s">
        <v>78</v>
      </c>
      <c r="B142" s="3" t="s">
        <v>62</v>
      </c>
      <c r="C142" s="15" t="s">
        <v>22</v>
      </c>
      <c r="D142" s="3" t="str">
        <f t="shared" si="3"/>
        <v>Automotores</v>
      </c>
      <c r="E142" s="3" t="s">
        <v>77</v>
      </c>
      <c r="F142" s="5">
        <v>45994</v>
      </c>
      <c r="G142" s="15" t="s">
        <v>74</v>
      </c>
      <c r="H142" s="7">
        <v>0.29861111109999999</v>
      </c>
      <c r="I142" s="3"/>
      <c r="J142" s="3"/>
      <c r="K142" t="str">
        <f t="shared" si="4"/>
        <v xml:space="preserve">Sistemas Eléctricos y Electrónicos en Vehículos Blindados - ORU2 - </v>
      </c>
    </row>
    <row r="143" spans="1:11" ht="15.75" customHeight="1">
      <c r="A143" s="15" t="s">
        <v>78</v>
      </c>
      <c r="B143" s="3" t="s">
        <v>62</v>
      </c>
      <c r="C143" s="15" t="s">
        <v>22</v>
      </c>
      <c r="D143" s="3" t="str">
        <f t="shared" si="3"/>
        <v>Automotores</v>
      </c>
      <c r="E143" s="3" t="s">
        <v>79</v>
      </c>
      <c r="F143" s="5">
        <v>46002</v>
      </c>
      <c r="G143" s="15" t="s">
        <v>74</v>
      </c>
      <c r="H143" s="7">
        <v>0.39583333329999998</v>
      </c>
      <c r="I143" s="3"/>
      <c r="J143" s="3"/>
      <c r="K143" t="str">
        <f t="shared" si="4"/>
        <v xml:space="preserve">Sistemas Eléctricos y Electrónicos en Vehículos Blindados - ORU2 - </v>
      </c>
    </row>
    <row r="144" spans="1:11" ht="22.95" customHeight="1">
      <c r="A144" s="15" t="s">
        <v>78</v>
      </c>
      <c r="B144" s="3" t="s">
        <v>46</v>
      </c>
      <c r="C144" s="15" t="s">
        <v>24</v>
      </c>
      <c r="D144" s="3" t="str">
        <f t="shared" si="3"/>
        <v>Automotores</v>
      </c>
      <c r="E144" s="3" t="s">
        <v>73</v>
      </c>
      <c r="F144" s="5">
        <v>45986</v>
      </c>
      <c r="G144" s="15" t="s">
        <v>74</v>
      </c>
      <c r="H144" s="7">
        <v>0.29861111109999999</v>
      </c>
      <c r="I144" s="3"/>
      <c r="J144" s="3"/>
      <c r="K144" t="str">
        <f t="shared" si="4"/>
        <v xml:space="preserve">Sistemas Mecánicos en Vehículos a Rueda - RUE2 - </v>
      </c>
    </row>
    <row r="145" spans="1:11" ht="15.75" customHeight="1">
      <c r="A145" s="15" t="s">
        <v>78</v>
      </c>
      <c r="B145" s="3" t="s">
        <v>46</v>
      </c>
      <c r="C145" s="15" t="s">
        <v>24</v>
      </c>
      <c r="D145" s="3" t="str">
        <f t="shared" si="3"/>
        <v>Automotores</v>
      </c>
      <c r="E145" s="3" t="s">
        <v>77</v>
      </c>
      <c r="F145" s="5">
        <v>45993</v>
      </c>
      <c r="G145" s="15" t="s">
        <v>74</v>
      </c>
      <c r="H145" s="7">
        <v>0.29861111109999999</v>
      </c>
      <c r="I145" s="3"/>
      <c r="J145" s="3"/>
      <c r="K145" t="str">
        <f t="shared" si="4"/>
        <v xml:space="preserve">Sistemas Mecánicos en Vehículos a Rueda - RUE2 - </v>
      </c>
    </row>
    <row r="146" spans="1:11" ht="15.75" customHeight="1">
      <c r="A146" s="15" t="s">
        <v>78</v>
      </c>
      <c r="B146" s="3" t="s">
        <v>46</v>
      </c>
      <c r="C146" s="15" t="s">
        <v>24</v>
      </c>
      <c r="D146" s="3" t="str">
        <f t="shared" si="3"/>
        <v>Automotores</v>
      </c>
      <c r="E146" s="3" t="s">
        <v>79</v>
      </c>
      <c r="F146" s="5">
        <v>46000</v>
      </c>
      <c r="G146" s="15" t="s">
        <v>74</v>
      </c>
      <c r="H146" s="7">
        <v>0.29861111109999999</v>
      </c>
      <c r="I146" s="3"/>
      <c r="J146" s="3"/>
      <c r="K146" t="str">
        <f t="shared" si="4"/>
        <v xml:space="preserve">Sistemas Mecánicos en Vehículos a Rueda - RUE2 - </v>
      </c>
    </row>
    <row r="147" spans="1:11" ht="15.75" customHeight="1">
      <c r="A147" s="15" t="s">
        <v>78</v>
      </c>
      <c r="B147" s="3" t="s">
        <v>56</v>
      </c>
      <c r="C147" s="15" t="s">
        <v>24</v>
      </c>
      <c r="D147" s="3" t="str">
        <f t="shared" si="3"/>
        <v>Automotores</v>
      </c>
      <c r="E147" s="3" t="s">
        <v>73</v>
      </c>
      <c r="F147" s="5">
        <v>45980</v>
      </c>
      <c r="G147" s="15" t="s">
        <v>74</v>
      </c>
      <c r="H147" s="7">
        <v>0.29861111109999999</v>
      </c>
      <c r="I147" s="3"/>
      <c r="J147" s="3"/>
      <c r="K147" t="str">
        <f t="shared" si="4"/>
        <v xml:space="preserve">Técnicas y Metodologías de Mantenimiento en Vehículos a Rueda - RUE2 - </v>
      </c>
    </row>
    <row r="148" spans="1:11" ht="26.4">
      <c r="A148" s="15" t="s">
        <v>78</v>
      </c>
      <c r="B148" s="3" t="s">
        <v>56</v>
      </c>
      <c r="C148" s="15" t="s">
        <v>24</v>
      </c>
      <c r="D148" s="3" t="str">
        <f t="shared" si="3"/>
        <v>Automotores</v>
      </c>
      <c r="E148" s="3" t="s">
        <v>77</v>
      </c>
      <c r="F148" s="5">
        <v>45992</v>
      </c>
      <c r="G148" s="15" t="s">
        <v>74</v>
      </c>
      <c r="H148" s="7">
        <v>0.29861111109999999</v>
      </c>
      <c r="I148" s="3"/>
      <c r="J148" s="3"/>
      <c r="K148" t="str">
        <f t="shared" si="4"/>
        <v xml:space="preserve">Técnicas y Metodologías de Mantenimiento en Vehículos a Rueda - RUE2 - </v>
      </c>
    </row>
    <row r="149" spans="1:11" ht="15.75" customHeight="1">
      <c r="A149" s="15" t="s">
        <v>78</v>
      </c>
      <c r="B149" s="3" t="s">
        <v>56</v>
      </c>
      <c r="C149" s="15" t="s">
        <v>24</v>
      </c>
      <c r="D149" s="3" t="str">
        <f t="shared" si="3"/>
        <v>Automotores</v>
      </c>
      <c r="E149" s="3" t="s">
        <v>79</v>
      </c>
      <c r="F149" s="5">
        <v>46001</v>
      </c>
      <c r="G149" s="15" t="s">
        <v>74</v>
      </c>
      <c r="H149" s="7">
        <v>0.29861111109999999</v>
      </c>
      <c r="I149" s="3"/>
      <c r="J149" s="3"/>
      <c r="K149" t="str">
        <f t="shared" si="4"/>
        <v xml:space="preserve">Técnicas y Metodologías de Mantenimiento en Vehículos a Rueda - RUE2 - </v>
      </c>
    </row>
    <row r="150" spans="1:11" ht="15.75" customHeight="1">
      <c r="A150" s="15" t="s">
        <v>78</v>
      </c>
      <c r="B150" s="3" t="s">
        <v>35</v>
      </c>
      <c r="C150" s="15" t="s">
        <v>23</v>
      </c>
      <c r="D150" s="3" t="str">
        <f t="shared" si="3"/>
        <v>Automotores</v>
      </c>
      <c r="E150" s="3" t="s">
        <v>73</v>
      </c>
      <c r="F150" s="5">
        <v>45991</v>
      </c>
      <c r="G150" s="15" t="s">
        <v>74</v>
      </c>
      <c r="H150" s="7">
        <v>0.29861111109999999</v>
      </c>
      <c r="I150" s="3"/>
      <c r="J150" s="3"/>
      <c r="K150" t="str">
        <f t="shared" si="4"/>
        <v xml:space="preserve">Termodinámica y Motores de Combustión Interna II - ING2 - </v>
      </c>
    </row>
    <row r="151" spans="1:11" ht="13.2">
      <c r="A151" s="15" t="s">
        <v>78</v>
      </c>
      <c r="B151" s="3" t="s">
        <v>35</v>
      </c>
      <c r="C151" s="15" t="s">
        <v>23</v>
      </c>
      <c r="D151" s="3" t="str">
        <f t="shared" si="3"/>
        <v>Automotores</v>
      </c>
      <c r="E151" s="3" t="s">
        <v>77</v>
      </c>
      <c r="F151" s="5">
        <v>45994</v>
      </c>
      <c r="G151" s="15" t="s">
        <v>74</v>
      </c>
      <c r="H151" s="7">
        <v>0.39583333329999998</v>
      </c>
      <c r="I151" s="3"/>
      <c r="J151" s="3"/>
      <c r="K151" t="str">
        <f t="shared" si="4"/>
        <v xml:space="preserve">Termodinámica y Motores de Combustión Interna II - ING2 - </v>
      </c>
    </row>
    <row r="152" spans="1:11" ht="13.2">
      <c r="A152" s="15" t="s">
        <v>78</v>
      </c>
      <c r="B152" s="3" t="s">
        <v>35</v>
      </c>
      <c r="C152" s="15" t="s">
        <v>23</v>
      </c>
      <c r="D152" s="3" t="str">
        <f t="shared" si="3"/>
        <v>Automotores</v>
      </c>
      <c r="E152" s="3" t="s">
        <v>79</v>
      </c>
      <c r="F152" s="5">
        <v>46002</v>
      </c>
      <c r="G152" s="15" t="s">
        <v>74</v>
      </c>
      <c r="H152" s="7">
        <v>0.29861111109999999</v>
      </c>
      <c r="I152" s="3"/>
      <c r="J152" s="3"/>
      <c r="K152" t="str">
        <f t="shared" si="4"/>
        <v xml:space="preserve">Termodinámica y Motores de Combustión Interna II - ING2 - </v>
      </c>
    </row>
    <row r="153" spans="1:11" ht="15.75" customHeight="1">
      <c r="A153" s="15" t="s">
        <v>78</v>
      </c>
      <c r="B153" s="3" t="s">
        <v>35</v>
      </c>
      <c r="C153" s="15" t="s">
        <v>22</v>
      </c>
      <c r="D153" s="3" t="str">
        <f t="shared" si="3"/>
        <v>Automotores</v>
      </c>
      <c r="E153" s="3" t="s">
        <v>73</v>
      </c>
      <c r="F153" s="5">
        <v>45991</v>
      </c>
      <c r="G153" s="15" t="s">
        <v>74</v>
      </c>
      <c r="H153" s="7">
        <v>0.29861111109999999</v>
      </c>
      <c r="I153" s="3"/>
      <c r="J153" s="3"/>
      <c r="K153" t="str">
        <f t="shared" si="4"/>
        <v xml:space="preserve">Termodinámica y Motores de Combustión Interna II - ORU2 - </v>
      </c>
    </row>
    <row r="154" spans="1:11" ht="15.75" customHeight="1">
      <c r="A154" s="15" t="s">
        <v>78</v>
      </c>
      <c r="B154" s="3" t="s">
        <v>35</v>
      </c>
      <c r="C154" s="15" t="s">
        <v>22</v>
      </c>
      <c r="D154" s="3" t="str">
        <f t="shared" si="3"/>
        <v>Automotores</v>
      </c>
      <c r="E154" s="3" t="s">
        <v>77</v>
      </c>
      <c r="F154" s="5">
        <v>45994</v>
      </c>
      <c r="G154" s="15" t="s">
        <v>74</v>
      </c>
      <c r="H154" s="7">
        <v>0.39583333329999998</v>
      </c>
      <c r="I154" s="3"/>
      <c r="J154" s="3"/>
      <c r="K154" t="str">
        <f t="shared" si="4"/>
        <v xml:space="preserve">Termodinámica y Motores de Combustión Interna II - ORU2 - </v>
      </c>
    </row>
    <row r="155" spans="1:11" ht="15.75" customHeight="1">
      <c r="A155" s="15" t="s">
        <v>78</v>
      </c>
      <c r="B155" s="3" t="s">
        <v>35</v>
      </c>
      <c r="C155" s="15" t="s">
        <v>22</v>
      </c>
      <c r="D155" s="3" t="str">
        <f t="shared" si="3"/>
        <v>Automotores</v>
      </c>
      <c r="E155" s="3" t="s">
        <v>79</v>
      </c>
      <c r="F155" s="5">
        <v>46002</v>
      </c>
      <c r="G155" s="15" t="s">
        <v>74</v>
      </c>
      <c r="H155" s="7">
        <v>0.29861111109999999</v>
      </c>
      <c r="I155" s="3"/>
      <c r="J155" s="3"/>
      <c r="K155" t="str">
        <f t="shared" si="4"/>
        <v xml:space="preserve">Termodinámica y Motores de Combustión Interna II - ORU2 - </v>
      </c>
    </row>
    <row r="156" spans="1:11" ht="15.75" customHeight="1">
      <c r="A156" s="15" t="s">
        <v>78</v>
      </c>
      <c r="B156" s="3" t="s">
        <v>35</v>
      </c>
      <c r="C156" s="15" t="s">
        <v>70</v>
      </c>
      <c r="D156" s="3" t="str">
        <f t="shared" si="3"/>
        <v>Automotores</v>
      </c>
      <c r="E156" s="3" t="s">
        <v>73</v>
      </c>
      <c r="F156" s="5">
        <v>45991</v>
      </c>
      <c r="G156" s="15" t="s">
        <v>74</v>
      </c>
      <c r="H156" s="7">
        <v>0.29861111109999999</v>
      </c>
      <c r="I156" s="3"/>
      <c r="J156" s="3"/>
      <c r="K156" t="str">
        <f t="shared" si="4"/>
        <v xml:space="preserve">Termodinámica y Motores de Combustión Interna II - ELEC2 - </v>
      </c>
    </row>
    <row r="157" spans="1:11" ht="13.2">
      <c r="A157" s="15" t="s">
        <v>78</v>
      </c>
      <c r="B157" s="3" t="s">
        <v>35</v>
      </c>
      <c r="C157" s="15" t="s">
        <v>70</v>
      </c>
      <c r="D157" s="3" t="str">
        <f t="shared" si="3"/>
        <v>Automotores</v>
      </c>
      <c r="E157" s="3" t="s">
        <v>77</v>
      </c>
      <c r="F157" s="5">
        <v>45994</v>
      </c>
      <c r="G157" s="15" t="s">
        <v>74</v>
      </c>
      <c r="H157" s="7">
        <v>0.39583333329999998</v>
      </c>
      <c r="I157" s="3"/>
      <c r="J157" s="3"/>
      <c r="K157" t="str">
        <f t="shared" si="4"/>
        <v xml:space="preserve">Termodinámica y Motores de Combustión Interna II - ELEC2 - </v>
      </c>
    </row>
    <row r="158" spans="1:11" ht="15.75" customHeight="1">
      <c r="A158" s="15" t="s">
        <v>78</v>
      </c>
      <c r="B158" s="3" t="s">
        <v>35</v>
      </c>
      <c r="C158" s="15" t="s">
        <v>70</v>
      </c>
      <c r="D158" s="3" t="str">
        <f t="shared" si="3"/>
        <v>Automotores</v>
      </c>
      <c r="E158" s="3" t="s">
        <v>79</v>
      </c>
      <c r="F158" s="5">
        <v>46002</v>
      </c>
      <c r="G158" s="15" t="s">
        <v>74</v>
      </c>
      <c r="H158" s="7">
        <v>0.29861111109999999</v>
      </c>
      <c r="I158" s="3"/>
      <c r="J158" s="3"/>
      <c r="K158" t="str">
        <f t="shared" si="4"/>
        <v xml:space="preserve">Termodinámica y Motores de Combustión Interna II - ELEC2 - </v>
      </c>
    </row>
    <row r="159" spans="1:11" ht="15.75" customHeight="1">
      <c r="A159" s="15" t="s">
        <v>72</v>
      </c>
      <c r="B159" s="3" t="s">
        <v>33</v>
      </c>
      <c r="C159" s="15" t="s">
        <v>20</v>
      </c>
      <c r="D159" s="3" t="str">
        <f t="shared" si="3"/>
        <v>Automotores</v>
      </c>
      <c r="E159" s="13" t="s">
        <v>73</v>
      </c>
      <c r="F159" s="5">
        <v>45987</v>
      </c>
      <c r="G159" s="15" t="s">
        <v>74</v>
      </c>
      <c r="H159" s="7">
        <v>0.39583333333333331</v>
      </c>
      <c r="I159" s="3" t="s">
        <v>92</v>
      </c>
      <c r="J159" s="3"/>
      <c r="K159" t="str">
        <f t="shared" si="4"/>
        <v>Procesos Mecánicos - CM2 -  Martin Alfredo</v>
      </c>
    </row>
    <row r="160" spans="1:11" ht="15.75" customHeight="1">
      <c r="A160" s="15" t="s">
        <v>72</v>
      </c>
      <c r="B160" s="3" t="s">
        <v>33</v>
      </c>
      <c r="C160" s="15" t="s">
        <v>20</v>
      </c>
      <c r="D160" s="3" t="str">
        <f t="shared" si="3"/>
        <v>Automotores</v>
      </c>
      <c r="E160" s="3" t="s">
        <v>77</v>
      </c>
      <c r="F160" s="5">
        <v>46000</v>
      </c>
      <c r="G160" s="15" t="s">
        <v>75</v>
      </c>
      <c r="H160" s="7">
        <v>0.63194444444444442</v>
      </c>
      <c r="I160" s="3" t="s">
        <v>92</v>
      </c>
      <c r="J160" s="3"/>
      <c r="K160" t="str">
        <f t="shared" si="4"/>
        <v>Procesos Mecánicos - CM2 -  Martin Alfredo</v>
      </c>
    </row>
    <row r="161" spans="1:11" ht="15.75" customHeight="1">
      <c r="A161" s="15" t="s">
        <v>78</v>
      </c>
      <c r="B161" s="3" t="s">
        <v>59</v>
      </c>
      <c r="C161" s="15" t="s">
        <v>23</v>
      </c>
      <c r="D161" s="3" t="str">
        <f t="shared" si="3"/>
        <v>Automotores</v>
      </c>
      <c r="E161" s="3" t="s">
        <v>73</v>
      </c>
      <c r="F161" s="5">
        <v>45980</v>
      </c>
      <c r="G161" s="15" t="s">
        <v>74</v>
      </c>
      <c r="H161" s="7">
        <v>0.32638888890000001</v>
      </c>
      <c r="I161" s="3" t="s">
        <v>92</v>
      </c>
      <c r="J161" s="3"/>
      <c r="K161" t="str">
        <f t="shared" si="4"/>
        <v>Técnicas y Metodologías de Mantenimiento en Equipos y Máquinas de Ingenieros - ING2 -  Martin Alfredo</v>
      </c>
    </row>
    <row r="162" spans="1:11" ht="26.4">
      <c r="A162" s="15" t="s">
        <v>78</v>
      </c>
      <c r="B162" s="3" t="s">
        <v>59</v>
      </c>
      <c r="C162" s="15" t="s">
        <v>23</v>
      </c>
      <c r="D162" s="3" t="str">
        <f t="shared" ref="D162:D186" si="5">"Automotores"</f>
        <v>Automotores</v>
      </c>
      <c r="E162" s="3" t="s">
        <v>77</v>
      </c>
      <c r="F162" s="5">
        <v>45992</v>
      </c>
      <c r="G162" s="15" t="s">
        <v>74</v>
      </c>
      <c r="H162" s="7">
        <v>0.39583333329999998</v>
      </c>
      <c r="I162" s="3" t="s">
        <v>92</v>
      </c>
      <c r="J162" s="3"/>
      <c r="K162" t="str">
        <f t="shared" si="4"/>
        <v>Técnicas y Metodologías de Mantenimiento en Equipos y Máquinas de Ingenieros - ING2 -  Martin Alfredo</v>
      </c>
    </row>
    <row r="163" spans="1:11" ht="26.4">
      <c r="A163" s="15" t="s">
        <v>78</v>
      </c>
      <c r="B163" s="3" t="s">
        <v>59</v>
      </c>
      <c r="C163" s="15" t="s">
        <v>23</v>
      </c>
      <c r="D163" s="3" t="str">
        <f t="shared" si="5"/>
        <v>Automotores</v>
      </c>
      <c r="E163" s="3" t="s">
        <v>79</v>
      </c>
      <c r="F163" s="5">
        <v>46001</v>
      </c>
      <c r="G163" s="15" t="s">
        <v>75</v>
      </c>
      <c r="H163" s="7">
        <v>0.63194444439999997</v>
      </c>
      <c r="I163" s="3" t="s">
        <v>92</v>
      </c>
      <c r="J163" s="3"/>
      <c r="K163" t="str">
        <f t="shared" si="4"/>
        <v>Técnicas y Metodologías de Mantenimiento en Equipos y Máquinas de Ingenieros - ING2 -  Martin Alfredo</v>
      </c>
    </row>
    <row r="164" spans="1:11" ht="15.75" customHeight="1">
      <c r="A164" s="15" t="s">
        <v>72</v>
      </c>
      <c r="B164" s="3" t="s">
        <v>44</v>
      </c>
      <c r="C164" s="15" t="s">
        <v>17</v>
      </c>
      <c r="D164" s="3" t="str">
        <f t="shared" si="5"/>
        <v>Automotores</v>
      </c>
      <c r="E164" s="13" t="s">
        <v>73</v>
      </c>
      <c r="F164" s="5">
        <v>45986</v>
      </c>
      <c r="G164" s="15" t="s">
        <v>75</v>
      </c>
      <c r="H164" s="7">
        <v>0.63194444444444442</v>
      </c>
      <c r="I164" s="13" t="s">
        <v>92</v>
      </c>
      <c r="J164" s="3"/>
      <c r="K164" t="str">
        <f t="shared" si="4"/>
        <v>Tecnologías de Automoción - ING1 -  Martin Alfredo</v>
      </c>
    </row>
    <row r="165" spans="1:11" ht="15.75" customHeight="1">
      <c r="A165" s="15" t="s">
        <v>72</v>
      </c>
      <c r="B165" s="3" t="s">
        <v>44</v>
      </c>
      <c r="C165" s="15" t="s">
        <v>17</v>
      </c>
      <c r="D165" s="3" t="str">
        <f t="shared" si="5"/>
        <v>Automotores</v>
      </c>
      <c r="E165" s="3" t="s">
        <v>77</v>
      </c>
      <c r="F165" s="5">
        <v>46000</v>
      </c>
      <c r="G165" s="15" t="s">
        <v>75</v>
      </c>
      <c r="H165" s="7">
        <v>0.63194444444444442</v>
      </c>
      <c r="I165" s="3" t="s">
        <v>92</v>
      </c>
      <c r="J165" s="3"/>
      <c r="K165" t="str">
        <f t="shared" si="4"/>
        <v>Tecnologías de Automoción - ING1 -  Martin Alfredo</v>
      </c>
    </row>
    <row r="166" spans="1:11" ht="15.75" customHeight="1">
      <c r="A166" s="15" t="s">
        <v>78</v>
      </c>
      <c r="B166" s="3" t="s">
        <v>49</v>
      </c>
      <c r="C166" s="15" t="s">
        <v>23</v>
      </c>
      <c r="D166" s="3" t="str">
        <f t="shared" si="5"/>
        <v>Automotores</v>
      </c>
      <c r="E166" s="3" t="s">
        <v>73</v>
      </c>
      <c r="F166" s="5">
        <v>45985</v>
      </c>
      <c r="G166" s="15" t="s">
        <v>75</v>
      </c>
      <c r="H166" s="7">
        <v>0.63194444439999997</v>
      </c>
      <c r="I166" s="3" t="s">
        <v>93</v>
      </c>
      <c r="J166" s="3"/>
      <c r="K166" t="str">
        <f t="shared" si="4"/>
        <v>Sistemas de los Equipos y Máquinas de Ingenieros - ING2 -  Marcelo Eduardo</v>
      </c>
    </row>
    <row r="167" spans="1:11" ht="15.75" customHeight="1">
      <c r="A167" s="15" t="s">
        <v>78</v>
      </c>
      <c r="B167" s="3" t="s">
        <v>49</v>
      </c>
      <c r="C167" s="15" t="s">
        <v>23</v>
      </c>
      <c r="D167" s="3" t="str">
        <f t="shared" si="5"/>
        <v>Automotores</v>
      </c>
      <c r="E167" s="3" t="s">
        <v>77</v>
      </c>
      <c r="F167" s="5">
        <v>45992</v>
      </c>
      <c r="G167" s="15" t="s">
        <v>75</v>
      </c>
      <c r="H167" s="7">
        <v>0.63194444439999997</v>
      </c>
      <c r="I167" s="3" t="s">
        <v>93</v>
      </c>
      <c r="J167" s="3"/>
      <c r="K167" t="str">
        <f t="shared" si="4"/>
        <v>Sistemas de los Equipos y Máquinas de Ingenieros - ING2 -  Marcelo Eduardo</v>
      </c>
    </row>
    <row r="168" spans="1:11" ht="15.75" customHeight="1">
      <c r="A168" s="15" t="s">
        <v>78</v>
      </c>
      <c r="B168" s="3" t="s">
        <v>49</v>
      </c>
      <c r="C168" s="15" t="s">
        <v>23</v>
      </c>
      <c r="D168" s="3" t="str">
        <f t="shared" si="5"/>
        <v>Automotores</v>
      </c>
      <c r="E168" s="3" t="s">
        <v>79</v>
      </c>
      <c r="F168" s="5">
        <v>46000</v>
      </c>
      <c r="G168" s="15" t="s">
        <v>74</v>
      </c>
      <c r="H168" s="7">
        <v>0.29861111109999999</v>
      </c>
      <c r="I168" s="3" t="s">
        <v>93</v>
      </c>
      <c r="J168" s="3"/>
      <c r="K168" t="str">
        <f t="shared" si="4"/>
        <v>Sistemas de los Equipos y Máquinas de Ingenieros - ING2 -  Marcelo Eduardo</v>
      </c>
    </row>
    <row r="169" spans="1:11" ht="26.4">
      <c r="A169" s="15" t="s">
        <v>72</v>
      </c>
      <c r="B169" s="3" t="s">
        <v>39</v>
      </c>
      <c r="C169" s="15" t="s">
        <v>17</v>
      </c>
      <c r="D169" s="3" t="str">
        <f t="shared" si="5"/>
        <v>Automotores</v>
      </c>
      <c r="E169" s="13" t="s">
        <v>73</v>
      </c>
      <c r="F169" s="5">
        <v>45985</v>
      </c>
      <c r="G169" s="15" t="s">
        <v>74</v>
      </c>
      <c r="H169" s="7">
        <v>0.2986111111111111</v>
      </c>
      <c r="I169" s="13" t="s">
        <v>93</v>
      </c>
      <c r="J169" s="3"/>
      <c r="K169" t="str">
        <f t="shared" si="4"/>
        <v>Técnica y Metodología Operativa en Equipos y Máquinas de Ingenieros - ING1 -  Marcelo Eduardo</v>
      </c>
    </row>
    <row r="170" spans="1:11" ht="15.75" customHeight="1">
      <c r="A170" s="15" t="s">
        <v>72</v>
      </c>
      <c r="B170" s="3" t="s">
        <v>39</v>
      </c>
      <c r="C170" s="15" t="s">
        <v>17</v>
      </c>
      <c r="D170" s="3" t="str">
        <f t="shared" si="5"/>
        <v>Automotores</v>
      </c>
      <c r="E170" s="3" t="s">
        <v>77</v>
      </c>
      <c r="F170" s="5">
        <v>45992</v>
      </c>
      <c r="G170" s="15" t="s">
        <v>74</v>
      </c>
      <c r="H170" s="7">
        <v>0.2986111111111111</v>
      </c>
      <c r="I170" s="3" t="s">
        <v>93</v>
      </c>
      <c r="J170" s="3"/>
      <c r="K170" t="str">
        <f t="shared" si="4"/>
        <v>Técnica y Metodología Operativa en Equipos y Máquinas de Ingenieros - ING1 -  Marcelo Eduardo</v>
      </c>
    </row>
    <row r="171" spans="1:11" ht="15.75" customHeight="1">
      <c r="A171" s="15" t="s">
        <v>78</v>
      </c>
      <c r="B171" s="3" t="s">
        <v>54</v>
      </c>
      <c r="C171" s="15" t="s">
        <v>23</v>
      </c>
      <c r="D171" s="3" t="str">
        <f t="shared" si="5"/>
        <v>Automotores</v>
      </c>
      <c r="E171" s="3" t="s">
        <v>73</v>
      </c>
      <c r="F171" s="5">
        <v>45986</v>
      </c>
      <c r="G171" s="15" t="s">
        <v>74</v>
      </c>
      <c r="H171" s="7">
        <v>0.29861111109999999</v>
      </c>
      <c r="I171" s="3" t="s">
        <v>93</v>
      </c>
      <c r="J171" s="3"/>
      <c r="K171" t="str">
        <f t="shared" si="4"/>
        <v>Tecnologías de Equipos y Máquinas de Ingenieros - ING2 -  Marcelo Eduardo</v>
      </c>
    </row>
    <row r="172" spans="1:11" ht="13.2">
      <c r="A172" s="15" t="s">
        <v>78</v>
      </c>
      <c r="B172" s="3" t="s">
        <v>54</v>
      </c>
      <c r="C172" s="15" t="s">
        <v>23</v>
      </c>
      <c r="D172" s="3" t="str">
        <f t="shared" si="5"/>
        <v>Automotores</v>
      </c>
      <c r="E172" s="3" t="s">
        <v>77</v>
      </c>
      <c r="F172" s="5">
        <v>45993</v>
      </c>
      <c r="G172" s="15" t="s">
        <v>74</v>
      </c>
      <c r="H172" s="7">
        <v>0.29861111109999999</v>
      </c>
      <c r="I172" s="3" t="s">
        <v>93</v>
      </c>
      <c r="J172" s="3"/>
      <c r="K172" t="str">
        <f t="shared" si="4"/>
        <v>Tecnologías de Equipos y Máquinas de Ingenieros - ING2 -  Marcelo Eduardo</v>
      </c>
    </row>
    <row r="173" spans="1:11" ht="15.75" customHeight="1">
      <c r="A173" s="15" t="s">
        <v>78</v>
      </c>
      <c r="B173" s="3" t="s">
        <v>54</v>
      </c>
      <c r="C173" s="15" t="s">
        <v>23</v>
      </c>
      <c r="D173" s="3" t="str">
        <f t="shared" si="5"/>
        <v>Automotores</v>
      </c>
      <c r="E173" s="3" t="s">
        <v>79</v>
      </c>
      <c r="F173" s="5">
        <v>46000</v>
      </c>
      <c r="G173" s="15" t="s">
        <v>74</v>
      </c>
      <c r="H173" s="7">
        <v>0.39583333329999998</v>
      </c>
      <c r="I173" s="3" t="s">
        <v>93</v>
      </c>
      <c r="J173" s="3"/>
      <c r="K173" t="str">
        <f t="shared" si="4"/>
        <v>Tecnologías de Equipos y Máquinas de Ingenieros - ING2 -  Marcelo Eduardo</v>
      </c>
    </row>
    <row r="174" spans="1:11" ht="13.2">
      <c r="A174" s="17" t="s">
        <v>78</v>
      </c>
      <c r="B174" s="13" t="s">
        <v>50</v>
      </c>
      <c r="C174" s="17" t="s">
        <v>26</v>
      </c>
      <c r="D174" s="3" t="str">
        <f t="shared" si="5"/>
        <v>Automotores</v>
      </c>
      <c r="E174" s="13" t="s">
        <v>73</v>
      </c>
      <c r="F174" s="20">
        <v>45991</v>
      </c>
      <c r="G174" s="17" t="s">
        <v>74</v>
      </c>
      <c r="H174" s="18">
        <v>0.39583333329999998</v>
      </c>
      <c r="I174" s="13" t="s">
        <v>94</v>
      </c>
      <c r="J174" s="13"/>
      <c r="K174" t="str">
        <f t="shared" si="4"/>
        <v xml:space="preserve">Sistemas del Automotor - CM5 -  Víctor Manuel </v>
      </c>
    </row>
    <row r="175" spans="1:11" ht="15.75" customHeight="1">
      <c r="A175" s="17" t="s">
        <v>78</v>
      </c>
      <c r="B175" s="13" t="s">
        <v>50</v>
      </c>
      <c r="C175" s="17" t="s">
        <v>26</v>
      </c>
      <c r="D175" s="3" t="str">
        <f t="shared" si="5"/>
        <v>Automotores</v>
      </c>
      <c r="E175" s="13" t="s">
        <v>77</v>
      </c>
      <c r="F175" s="20">
        <v>45993</v>
      </c>
      <c r="G175" s="17" t="s">
        <v>75</v>
      </c>
      <c r="H175" s="18">
        <v>0.63194444439999997</v>
      </c>
      <c r="I175" s="13" t="s">
        <v>94</v>
      </c>
      <c r="J175" s="13"/>
      <c r="K175" t="str">
        <f t="shared" si="4"/>
        <v xml:space="preserve">Sistemas del Automotor - CM5 -  Víctor Manuel </v>
      </c>
    </row>
    <row r="176" spans="1:11" ht="15.75" customHeight="1">
      <c r="A176" s="17" t="s">
        <v>78</v>
      </c>
      <c r="B176" s="13" t="s">
        <v>50</v>
      </c>
      <c r="C176" s="17" t="s">
        <v>26</v>
      </c>
      <c r="D176" s="3" t="str">
        <f t="shared" si="5"/>
        <v>Automotores</v>
      </c>
      <c r="E176" s="13" t="s">
        <v>79</v>
      </c>
      <c r="F176" s="20">
        <v>46000</v>
      </c>
      <c r="G176" s="17" t="s">
        <v>74</v>
      </c>
      <c r="H176" s="18">
        <v>0.29861111109999999</v>
      </c>
      <c r="I176" s="13" t="s">
        <v>94</v>
      </c>
      <c r="J176" s="13"/>
      <c r="K176" t="str">
        <f t="shared" si="4"/>
        <v xml:space="preserve">Sistemas del Automotor - CM5 -  Víctor Manuel </v>
      </c>
    </row>
    <row r="177" spans="1:11" ht="15.75" customHeight="1">
      <c r="A177" s="15" t="s">
        <v>72</v>
      </c>
      <c r="B177" s="3" t="s">
        <v>37</v>
      </c>
      <c r="C177" s="15" t="s">
        <v>16</v>
      </c>
      <c r="D177" s="3" t="str">
        <f t="shared" si="5"/>
        <v>Automotores</v>
      </c>
      <c r="E177" s="13" t="s">
        <v>73</v>
      </c>
      <c r="F177" s="5">
        <v>45985</v>
      </c>
      <c r="G177" s="15" t="s">
        <v>74</v>
      </c>
      <c r="H177" s="7">
        <v>0.2986111111111111</v>
      </c>
      <c r="I177" s="13" t="s">
        <v>94</v>
      </c>
      <c r="J177" s="3"/>
      <c r="K177" t="str">
        <f t="shared" si="4"/>
        <v xml:space="preserve">Técnica y Metodología Operativa en Vehículos Blindados - ORU1 -  Víctor Manuel </v>
      </c>
    </row>
    <row r="178" spans="1:11" ht="13.2">
      <c r="A178" s="15" t="s">
        <v>72</v>
      </c>
      <c r="B178" s="3" t="s">
        <v>37</v>
      </c>
      <c r="C178" s="15" t="s">
        <v>16</v>
      </c>
      <c r="D178" s="3" t="str">
        <f t="shared" si="5"/>
        <v>Automotores</v>
      </c>
      <c r="E178" s="3" t="s">
        <v>77</v>
      </c>
      <c r="F178" s="5">
        <v>45992</v>
      </c>
      <c r="G178" s="15" t="s">
        <v>74</v>
      </c>
      <c r="H178" s="7">
        <v>0.2986111111111111</v>
      </c>
      <c r="I178" s="3" t="s">
        <v>94</v>
      </c>
      <c r="J178" s="3"/>
      <c r="K178" t="str">
        <f t="shared" si="4"/>
        <v xml:space="preserve">Técnica y Metodología Operativa en Vehículos Blindados - ORU1 -  Víctor Manuel </v>
      </c>
    </row>
    <row r="179" spans="1:11" ht="15.75" customHeight="1">
      <c r="A179" s="15" t="s">
        <v>72</v>
      </c>
      <c r="B179" s="3" t="s">
        <v>31</v>
      </c>
      <c r="C179" s="15" t="s">
        <v>17</v>
      </c>
      <c r="D179" s="3" t="str">
        <f t="shared" si="5"/>
        <v>Automotores</v>
      </c>
      <c r="E179" s="13" t="s">
        <v>73</v>
      </c>
      <c r="F179" s="5">
        <v>45985</v>
      </c>
      <c r="G179" s="15" t="s">
        <v>75</v>
      </c>
      <c r="H179" s="7">
        <v>0.63194444444444442</v>
      </c>
      <c r="I179" s="13" t="s">
        <v>94</v>
      </c>
      <c r="J179" s="3"/>
      <c r="K179" t="str">
        <f t="shared" si="4"/>
        <v xml:space="preserve">Termodinámica y Motores de Combustión Interna I - ING1 -  Víctor Manuel </v>
      </c>
    </row>
    <row r="180" spans="1:11" ht="15.75" customHeight="1">
      <c r="A180" s="15" t="s">
        <v>72</v>
      </c>
      <c r="B180" s="3" t="s">
        <v>31</v>
      </c>
      <c r="C180" s="15" t="s">
        <v>17</v>
      </c>
      <c r="D180" s="3" t="str">
        <f t="shared" si="5"/>
        <v>Automotores</v>
      </c>
      <c r="E180" s="3" t="s">
        <v>77</v>
      </c>
      <c r="F180" s="5">
        <v>45992</v>
      </c>
      <c r="G180" s="15" t="s">
        <v>75</v>
      </c>
      <c r="H180" s="7">
        <v>0.63194444444444442</v>
      </c>
      <c r="I180" s="3" t="s">
        <v>94</v>
      </c>
      <c r="J180" s="3"/>
      <c r="K180" t="str">
        <f t="shared" si="4"/>
        <v xml:space="preserve">Termodinámica y Motores de Combustión Interna I - ING1 -  Víctor Manuel </v>
      </c>
    </row>
    <row r="181" spans="1:11" ht="15.75" customHeight="1">
      <c r="A181" s="15" t="s">
        <v>72</v>
      </c>
      <c r="B181" s="3" t="s">
        <v>31</v>
      </c>
      <c r="C181" s="15" t="s">
        <v>16</v>
      </c>
      <c r="D181" s="3" t="str">
        <f t="shared" si="5"/>
        <v>Automotores</v>
      </c>
      <c r="E181" s="13" t="s">
        <v>73</v>
      </c>
      <c r="F181" s="5">
        <v>45985</v>
      </c>
      <c r="G181" s="15" t="s">
        <v>75</v>
      </c>
      <c r="H181" s="7">
        <v>0.63194444444444442</v>
      </c>
      <c r="I181" s="13" t="s">
        <v>94</v>
      </c>
      <c r="J181" s="3"/>
      <c r="K181" t="str">
        <f t="shared" si="4"/>
        <v xml:space="preserve">Termodinámica y Motores de Combustión Interna I - ORU1 -  Víctor Manuel </v>
      </c>
    </row>
    <row r="182" spans="1:11" ht="15.75" customHeight="1">
      <c r="A182" s="15" t="s">
        <v>72</v>
      </c>
      <c r="B182" s="3" t="s">
        <v>31</v>
      </c>
      <c r="C182" s="15" t="s">
        <v>16</v>
      </c>
      <c r="D182" s="3" t="str">
        <f t="shared" si="5"/>
        <v>Automotores</v>
      </c>
      <c r="E182" s="3" t="s">
        <v>77</v>
      </c>
      <c r="F182" s="5">
        <v>45992</v>
      </c>
      <c r="G182" s="15" t="s">
        <v>75</v>
      </c>
      <c r="H182" s="7">
        <v>0.63194444444444442</v>
      </c>
      <c r="I182" s="3" t="s">
        <v>94</v>
      </c>
      <c r="J182" s="3"/>
      <c r="K182" t="str">
        <f t="shared" si="4"/>
        <v xml:space="preserve">Termodinámica y Motores de Combustión Interna I - ORU1 -  Víctor Manuel </v>
      </c>
    </row>
    <row r="183" spans="1:11" ht="13.2">
      <c r="A183" s="15" t="s">
        <v>72</v>
      </c>
      <c r="B183" s="3" t="s">
        <v>31</v>
      </c>
      <c r="C183" s="15" t="s">
        <v>18</v>
      </c>
      <c r="D183" s="3" t="str">
        <f t="shared" si="5"/>
        <v>Automotores</v>
      </c>
      <c r="E183" s="13" t="s">
        <v>73</v>
      </c>
      <c r="F183" s="5">
        <v>45991</v>
      </c>
      <c r="G183" s="15" t="s">
        <v>74</v>
      </c>
      <c r="H183" s="7">
        <v>0.2986111111111111</v>
      </c>
      <c r="I183" s="3" t="s">
        <v>94</v>
      </c>
      <c r="J183" s="3"/>
      <c r="K183" t="str">
        <f t="shared" si="4"/>
        <v xml:space="preserve">Termodinámica y Motores de Combustión Interna I - RUE1 -  Víctor Manuel </v>
      </c>
    </row>
    <row r="184" spans="1:11" ht="13.2">
      <c r="A184" s="15" t="s">
        <v>72</v>
      </c>
      <c r="B184" s="3" t="s">
        <v>31</v>
      </c>
      <c r="C184" s="15" t="s">
        <v>18</v>
      </c>
      <c r="D184" s="3" t="str">
        <f t="shared" si="5"/>
        <v>Automotores</v>
      </c>
      <c r="E184" s="3" t="s">
        <v>77</v>
      </c>
      <c r="F184" s="5">
        <v>45992</v>
      </c>
      <c r="G184" s="15" t="s">
        <v>75</v>
      </c>
      <c r="H184" s="7">
        <v>0.63194444444444442</v>
      </c>
      <c r="I184" s="3" t="s">
        <v>94</v>
      </c>
      <c r="J184" s="3"/>
      <c r="K184" t="str">
        <f t="shared" si="4"/>
        <v xml:space="preserve">Termodinámica y Motores de Combustión Interna I - RUE1 -  Víctor Manuel </v>
      </c>
    </row>
    <row r="185" spans="1:11" ht="15.75" customHeight="1">
      <c r="A185" s="17" t="s">
        <v>78</v>
      </c>
      <c r="B185" s="13" t="s">
        <v>35</v>
      </c>
      <c r="C185" s="17" t="s">
        <v>25</v>
      </c>
      <c r="D185" s="3" t="str">
        <f t="shared" si="5"/>
        <v>Automotores</v>
      </c>
      <c r="E185" s="13" t="s">
        <v>73</v>
      </c>
      <c r="F185" s="20">
        <v>45991</v>
      </c>
      <c r="G185" s="17" t="s">
        <v>75</v>
      </c>
      <c r="H185" s="18">
        <v>0.63194444439999997</v>
      </c>
      <c r="I185" s="13" t="s">
        <v>94</v>
      </c>
      <c r="J185" s="13"/>
      <c r="K185" t="str">
        <f t="shared" si="4"/>
        <v xml:space="preserve">Termodinámica y Motores de Combustión Interna II - CM4 -  Víctor Manuel </v>
      </c>
    </row>
    <row r="186" spans="1:11" ht="15.75" customHeight="1">
      <c r="A186" s="17" t="s">
        <v>78</v>
      </c>
      <c r="B186" s="13" t="s">
        <v>35</v>
      </c>
      <c r="C186" s="17" t="s">
        <v>25</v>
      </c>
      <c r="D186" s="3" t="str">
        <f t="shared" si="5"/>
        <v>Automotores</v>
      </c>
      <c r="E186" s="13" t="s">
        <v>77</v>
      </c>
      <c r="F186" s="20">
        <v>45993</v>
      </c>
      <c r="G186" s="17" t="s">
        <v>74</v>
      </c>
      <c r="H186" s="18">
        <v>0.29861111109999999</v>
      </c>
      <c r="I186" s="13" t="s">
        <v>94</v>
      </c>
      <c r="J186" s="13"/>
      <c r="K186" t="str">
        <f t="shared" si="4"/>
        <v xml:space="preserve">Termodinámica y Motores de Combustión Interna II - CM4 -  Víctor Manuel </v>
      </c>
    </row>
    <row r="187" spans="1:11" ht="15.75" customHeight="1">
      <c r="A187" s="17" t="s">
        <v>78</v>
      </c>
      <c r="B187" s="13" t="s">
        <v>35</v>
      </c>
      <c r="C187" s="17" t="s">
        <v>25</v>
      </c>
      <c r="D187" s="3" t="s">
        <v>80</v>
      </c>
      <c r="E187" s="13" t="s">
        <v>79</v>
      </c>
      <c r="F187" s="20">
        <v>46002</v>
      </c>
      <c r="G187" s="17" t="s">
        <v>74</v>
      </c>
      <c r="H187" s="18">
        <v>0.29861111109999999</v>
      </c>
      <c r="I187" s="13" t="s">
        <v>94</v>
      </c>
      <c r="J187" s="13"/>
      <c r="K187" t="str">
        <f t="shared" si="4"/>
        <v xml:space="preserve">Termodinámica y Motores de Combustión Interna II - CM4 -  Víctor Manuel </v>
      </c>
    </row>
    <row r="188" spans="1:11" ht="15.75" customHeight="1">
      <c r="A188" s="17" t="s">
        <v>78</v>
      </c>
      <c r="B188" s="13" t="s">
        <v>34</v>
      </c>
      <c r="C188" s="17" t="s">
        <v>25</v>
      </c>
      <c r="D188" s="3" t="s">
        <v>80</v>
      </c>
      <c r="E188" s="13" t="s">
        <v>73</v>
      </c>
      <c r="F188" s="20">
        <v>45985</v>
      </c>
      <c r="G188" s="17" t="s">
        <v>75</v>
      </c>
      <c r="H188" s="18">
        <v>0.63194444444444442</v>
      </c>
      <c r="I188" s="13" t="s">
        <v>95</v>
      </c>
      <c r="J188" s="13"/>
      <c r="K188" t="str">
        <f t="shared" si="4"/>
        <v xml:space="preserve">Representación Gráfica Asistida por Computadora - CM4 -  Hernán Ariel </v>
      </c>
    </row>
    <row r="189" spans="1:11" ht="15.75" customHeight="1">
      <c r="A189" s="17" t="s">
        <v>78</v>
      </c>
      <c r="B189" s="13" t="s">
        <v>34</v>
      </c>
      <c r="C189" s="17" t="s">
        <v>25</v>
      </c>
      <c r="D189" s="3" t="s">
        <v>80</v>
      </c>
      <c r="E189" s="13" t="s">
        <v>77</v>
      </c>
      <c r="F189" s="20">
        <v>45992</v>
      </c>
      <c r="G189" s="17" t="s">
        <v>75</v>
      </c>
      <c r="H189" s="18">
        <v>0.63194444444444442</v>
      </c>
      <c r="I189" s="13" t="s">
        <v>95</v>
      </c>
      <c r="J189" s="13"/>
      <c r="K189" t="str">
        <f t="shared" si="4"/>
        <v xml:space="preserve">Representación Gráfica Asistida por Computadora - CM4 -  Hernán Ariel </v>
      </c>
    </row>
    <row r="190" spans="1:11" ht="15.75" customHeight="1">
      <c r="A190" s="17" t="s">
        <v>78</v>
      </c>
      <c r="B190" s="13" t="s">
        <v>34</v>
      </c>
      <c r="C190" s="17" t="s">
        <v>25</v>
      </c>
      <c r="D190" s="3" t="s">
        <v>80</v>
      </c>
      <c r="E190" s="13" t="s">
        <v>79</v>
      </c>
      <c r="F190" s="20">
        <v>46001</v>
      </c>
      <c r="G190" s="17" t="s">
        <v>75</v>
      </c>
      <c r="H190" s="18">
        <v>0.63194444444444442</v>
      </c>
      <c r="I190" s="13" t="s">
        <v>95</v>
      </c>
      <c r="J190" s="13"/>
      <c r="K190" t="str">
        <f t="shared" si="4"/>
        <v xml:space="preserve">Representación Gráfica Asistida por Computadora - CM4 -  Hernán Ariel </v>
      </c>
    </row>
    <row r="191" spans="1:11" ht="15.75" customHeight="1">
      <c r="A191" s="17" t="s">
        <v>78</v>
      </c>
      <c r="B191" s="13" t="s">
        <v>34</v>
      </c>
      <c r="C191" s="17" t="s">
        <v>26</v>
      </c>
      <c r="D191" s="3" t="s">
        <v>80</v>
      </c>
      <c r="E191" s="13" t="s">
        <v>73</v>
      </c>
      <c r="F191" s="20">
        <v>45986</v>
      </c>
      <c r="G191" s="17" t="s">
        <v>75</v>
      </c>
      <c r="H191" s="18">
        <v>0.63194444444444442</v>
      </c>
      <c r="I191" s="13" t="s">
        <v>95</v>
      </c>
      <c r="J191" s="13"/>
      <c r="K191" t="str">
        <f t="shared" si="4"/>
        <v xml:space="preserve">Representación Gráfica Asistida por Computadora - CM5 -  Hernán Ariel </v>
      </c>
    </row>
    <row r="192" spans="1:11" ht="13.2">
      <c r="A192" s="17" t="s">
        <v>78</v>
      </c>
      <c r="B192" s="13" t="s">
        <v>34</v>
      </c>
      <c r="C192" s="17" t="s">
        <v>26</v>
      </c>
      <c r="D192" s="3" t="s">
        <v>80</v>
      </c>
      <c r="E192" s="13" t="s">
        <v>77</v>
      </c>
      <c r="F192" s="20">
        <v>45992</v>
      </c>
      <c r="G192" s="17" t="s">
        <v>75</v>
      </c>
      <c r="H192" s="18">
        <v>0.63194444444444442</v>
      </c>
      <c r="I192" s="13" t="s">
        <v>95</v>
      </c>
      <c r="J192" s="13"/>
      <c r="K192" t="str">
        <f t="shared" si="4"/>
        <v xml:space="preserve">Representación Gráfica Asistida por Computadora - CM5 -  Hernán Ariel </v>
      </c>
    </row>
    <row r="193" spans="1:11" ht="15.75" customHeight="1">
      <c r="A193" s="17" t="s">
        <v>78</v>
      </c>
      <c r="B193" s="13" t="s">
        <v>34</v>
      </c>
      <c r="C193" s="17" t="s">
        <v>26</v>
      </c>
      <c r="D193" s="3" t="s">
        <v>80</v>
      </c>
      <c r="E193" s="13" t="s">
        <v>79</v>
      </c>
      <c r="F193" s="20">
        <v>46000</v>
      </c>
      <c r="G193" s="17" t="s">
        <v>75</v>
      </c>
      <c r="H193" s="18">
        <v>0.63194444444444442</v>
      </c>
      <c r="I193" s="13" t="s">
        <v>95</v>
      </c>
      <c r="J193" s="13"/>
      <c r="K193" t="str">
        <f t="shared" si="4"/>
        <v xml:space="preserve">Representación Gráfica Asistida por Computadora - CM5 -  Hernán Ariel </v>
      </c>
    </row>
    <row r="194" spans="1:11" ht="15.75" customHeight="1">
      <c r="A194" s="15" t="s">
        <v>78</v>
      </c>
      <c r="B194" s="3" t="s">
        <v>34</v>
      </c>
      <c r="C194" s="15" t="s">
        <v>23</v>
      </c>
      <c r="D194" s="3" t="s">
        <v>80</v>
      </c>
      <c r="E194" s="3" t="s">
        <v>73</v>
      </c>
      <c r="F194" s="5">
        <v>45986</v>
      </c>
      <c r="G194" s="15" t="s">
        <v>75</v>
      </c>
      <c r="H194" s="18">
        <v>0.63194444444444442</v>
      </c>
      <c r="I194" s="3" t="s">
        <v>95</v>
      </c>
      <c r="J194" s="3"/>
      <c r="K194" t="str">
        <f t="shared" ref="K194:K257" si="6">B194&amp;" - "&amp;C194&amp;" - "&amp;I194</f>
        <v xml:space="preserve">Representación Gráfica Asistida por Computadora - ING2 -  Hernán Ariel </v>
      </c>
    </row>
    <row r="195" spans="1:11" ht="15.75" customHeight="1">
      <c r="A195" s="15" t="s">
        <v>78</v>
      </c>
      <c r="B195" s="3" t="s">
        <v>34</v>
      </c>
      <c r="C195" s="15" t="s">
        <v>23</v>
      </c>
      <c r="D195" s="3" t="s">
        <v>80</v>
      </c>
      <c r="E195" s="3" t="s">
        <v>77</v>
      </c>
      <c r="F195" s="5">
        <v>45993</v>
      </c>
      <c r="G195" s="15" t="s">
        <v>75</v>
      </c>
      <c r="H195" s="7">
        <v>0.70138888889999995</v>
      </c>
      <c r="I195" s="3" t="s">
        <v>95</v>
      </c>
      <c r="J195" s="3"/>
      <c r="K195" t="str">
        <f t="shared" si="6"/>
        <v xml:space="preserve">Representación Gráfica Asistida por Computadora - ING2 -  Hernán Ariel </v>
      </c>
    </row>
    <row r="196" spans="1:11" ht="15.75" customHeight="1">
      <c r="A196" s="15" t="s">
        <v>78</v>
      </c>
      <c r="B196" s="3" t="s">
        <v>34</v>
      </c>
      <c r="C196" s="15" t="s">
        <v>23</v>
      </c>
      <c r="D196" s="3" t="s">
        <v>80</v>
      </c>
      <c r="E196" s="3" t="s">
        <v>79</v>
      </c>
      <c r="F196" s="5">
        <v>46000</v>
      </c>
      <c r="G196" s="15" t="s">
        <v>75</v>
      </c>
      <c r="H196" s="18">
        <v>0.63194444444444442</v>
      </c>
      <c r="I196" s="3" t="s">
        <v>95</v>
      </c>
      <c r="J196" s="3"/>
      <c r="K196" t="str">
        <f t="shared" si="6"/>
        <v xml:space="preserve">Representación Gráfica Asistida por Computadora - ING2 -  Hernán Ariel </v>
      </c>
    </row>
    <row r="197" spans="1:11" ht="15.75" customHeight="1">
      <c r="A197" s="15" t="s">
        <v>78</v>
      </c>
      <c r="B197" s="3" t="s">
        <v>34</v>
      </c>
      <c r="C197" s="15" t="s">
        <v>22</v>
      </c>
      <c r="D197" s="3" t="s">
        <v>80</v>
      </c>
      <c r="E197" s="3" t="s">
        <v>73</v>
      </c>
      <c r="F197" s="5">
        <v>45986</v>
      </c>
      <c r="G197" s="15" t="s">
        <v>75</v>
      </c>
      <c r="H197" s="18">
        <v>0.63194444444444442</v>
      </c>
      <c r="I197" s="3" t="s">
        <v>95</v>
      </c>
      <c r="J197" s="3"/>
      <c r="K197" t="str">
        <f t="shared" si="6"/>
        <v xml:space="preserve">Representación Gráfica Asistida por Computadora - ORU2 -  Hernán Ariel </v>
      </c>
    </row>
    <row r="198" spans="1:11" ht="15.75" customHeight="1">
      <c r="A198" s="15" t="s">
        <v>78</v>
      </c>
      <c r="B198" s="3" t="s">
        <v>34</v>
      </c>
      <c r="C198" s="15" t="s">
        <v>22</v>
      </c>
      <c r="D198" s="3" t="s">
        <v>80</v>
      </c>
      <c r="E198" s="3" t="s">
        <v>77</v>
      </c>
      <c r="F198" s="5">
        <v>45993</v>
      </c>
      <c r="G198" s="15" t="s">
        <v>75</v>
      </c>
      <c r="H198" s="7">
        <v>0.70138888889999995</v>
      </c>
      <c r="I198" s="3" t="s">
        <v>95</v>
      </c>
      <c r="J198" s="3"/>
      <c r="K198" t="str">
        <f t="shared" si="6"/>
        <v xml:space="preserve">Representación Gráfica Asistida por Computadora - ORU2 -  Hernán Ariel </v>
      </c>
    </row>
    <row r="199" spans="1:11" ht="13.2">
      <c r="A199" s="15" t="s">
        <v>78</v>
      </c>
      <c r="B199" s="3" t="s">
        <v>34</v>
      </c>
      <c r="C199" s="15" t="s">
        <v>22</v>
      </c>
      <c r="D199" s="3" t="s">
        <v>80</v>
      </c>
      <c r="E199" s="3" t="s">
        <v>79</v>
      </c>
      <c r="F199" s="5">
        <v>46000</v>
      </c>
      <c r="G199" s="15" t="s">
        <v>75</v>
      </c>
      <c r="H199" s="18">
        <v>0.63194444444444442</v>
      </c>
      <c r="I199" s="3" t="s">
        <v>95</v>
      </c>
      <c r="J199" s="3"/>
      <c r="K199" t="str">
        <f t="shared" si="6"/>
        <v xml:space="preserve">Representación Gráfica Asistida por Computadora - ORU2 -  Hernán Ariel </v>
      </c>
    </row>
    <row r="200" spans="1:11" ht="15.75" customHeight="1">
      <c r="A200" s="15" t="s">
        <v>78</v>
      </c>
      <c r="B200" s="3" t="s">
        <v>34</v>
      </c>
      <c r="C200" s="15" t="s">
        <v>70</v>
      </c>
      <c r="D200" s="3" t="s">
        <v>80</v>
      </c>
      <c r="E200" s="3" t="s">
        <v>73</v>
      </c>
      <c r="F200" s="5">
        <v>45986</v>
      </c>
      <c r="G200" s="15" t="s">
        <v>75</v>
      </c>
      <c r="H200" s="7">
        <v>0.63194444439999997</v>
      </c>
      <c r="I200" s="3" t="s">
        <v>95</v>
      </c>
      <c r="J200" s="3"/>
      <c r="K200" t="str">
        <f t="shared" si="6"/>
        <v xml:space="preserve">Representación Gráfica Asistida por Computadora - ELEC2 -  Hernán Ariel </v>
      </c>
    </row>
    <row r="201" spans="1:11" ht="15.75" customHeight="1">
      <c r="A201" s="15" t="s">
        <v>78</v>
      </c>
      <c r="B201" s="3" t="s">
        <v>34</v>
      </c>
      <c r="C201" s="15" t="s">
        <v>70</v>
      </c>
      <c r="D201" s="3" t="s">
        <v>80</v>
      </c>
      <c r="E201" s="3" t="s">
        <v>77</v>
      </c>
      <c r="F201" s="5">
        <v>45993</v>
      </c>
      <c r="G201" s="15" t="s">
        <v>75</v>
      </c>
      <c r="H201" s="7">
        <v>0.70138888889999995</v>
      </c>
      <c r="I201" s="3" t="s">
        <v>95</v>
      </c>
      <c r="J201" s="3"/>
      <c r="K201" t="str">
        <f t="shared" si="6"/>
        <v xml:space="preserve">Representación Gráfica Asistida por Computadora - ELEC2 -  Hernán Ariel </v>
      </c>
    </row>
    <row r="202" spans="1:11" ht="15.75" customHeight="1">
      <c r="A202" s="15" t="s">
        <v>78</v>
      </c>
      <c r="B202" s="3" t="s">
        <v>34</v>
      </c>
      <c r="C202" s="15" t="s">
        <v>70</v>
      </c>
      <c r="D202" s="3" t="s">
        <v>80</v>
      </c>
      <c r="E202" s="3" t="s">
        <v>79</v>
      </c>
      <c r="F202" s="5">
        <v>46000</v>
      </c>
      <c r="G202" s="15" t="s">
        <v>75</v>
      </c>
      <c r="H202" s="7">
        <v>0.63194444439999997</v>
      </c>
      <c r="I202" s="3" t="s">
        <v>95</v>
      </c>
      <c r="J202" s="3"/>
      <c r="K202" t="str">
        <f t="shared" si="6"/>
        <v xml:space="preserve">Representación Gráfica Asistida por Computadora - ELEC2 -  Hernán Ariel </v>
      </c>
    </row>
    <row r="203" spans="1:11" ht="15.75" customHeight="1">
      <c r="A203" s="17" t="s">
        <v>78</v>
      </c>
      <c r="B203" s="13" t="s">
        <v>60</v>
      </c>
      <c r="C203" s="17" t="s">
        <v>26</v>
      </c>
      <c r="D203" s="3" t="s">
        <v>80</v>
      </c>
      <c r="E203" s="13" t="s">
        <v>73</v>
      </c>
      <c r="F203" s="20">
        <v>45985</v>
      </c>
      <c r="G203" s="17" t="s">
        <v>75</v>
      </c>
      <c r="H203" s="18">
        <v>0.63194444439999997</v>
      </c>
      <c r="I203" s="13" t="s">
        <v>96</v>
      </c>
      <c r="J203" s="13"/>
      <c r="K203" t="str">
        <f t="shared" si="6"/>
        <v>Técnicas y Metodologías de Operación en Vehículos - CM5 -  Carlos</v>
      </c>
    </row>
    <row r="204" spans="1:11" ht="15.75" customHeight="1">
      <c r="A204" s="17" t="s">
        <v>78</v>
      </c>
      <c r="B204" s="13" t="s">
        <v>60</v>
      </c>
      <c r="C204" s="17" t="s">
        <v>26</v>
      </c>
      <c r="D204" s="3" t="s">
        <v>80</v>
      </c>
      <c r="E204" s="13" t="s">
        <v>77</v>
      </c>
      <c r="F204" s="20">
        <v>45993</v>
      </c>
      <c r="G204" s="17" t="s">
        <v>74</v>
      </c>
      <c r="H204" s="18">
        <v>0.29861111109999999</v>
      </c>
      <c r="I204" s="13" t="s">
        <v>96</v>
      </c>
      <c r="J204" s="13"/>
      <c r="K204" t="str">
        <f t="shared" si="6"/>
        <v>Técnicas y Metodologías de Operación en Vehículos - CM5 -  Carlos</v>
      </c>
    </row>
    <row r="205" spans="1:11" ht="13.2">
      <c r="A205" s="17" t="s">
        <v>78</v>
      </c>
      <c r="B205" s="13" t="s">
        <v>60</v>
      </c>
      <c r="C205" s="17" t="s">
        <v>26</v>
      </c>
      <c r="D205" s="3" t="s">
        <v>80</v>
      </c>
      <c r="E205" s="13" t="s">
        <v>79</v>
      </c>
      <c r="F205" s="20">
        <v>46001</v>
      </c>
      <c r="G205" s="17" t="s">
        <v>75</v>
      </c>
      <c r="H205" s="18">
        <v>0.63194444439999997</v>
      </c>
      <c r="I205" s="13" t="s">
        <v>96</v>
      </c>
      <c r="J205" s="13"/>
      <c r="K205" t="str">
        <f t="shared" si="6"/>
        <v>Técnicas y Metodologías de Operación en Vehículos - CM5 -  Carlos</v>
      </c>
    </row>
    <row r="206" spans="1:11" ht="15.75" customHeight="1">
      <c r="A206" s="15" t="s">
        <v>72</v>
      </c>
      <c r="B206" s="3" t="s">
        <v>40</v>
      </c>
      <c r="C206" s="15" t="s">
        <v>19</v>
      </c>
      <c r="D206" s="3" t="s">
        <v>80</v>
      </c>
      <c r="E206" s="13" t="s">
        <v>73</v>
      </c>
      <c r="F206" s="5">
        <v>45991</v>
      </c>
      <c r="G206" s="15" t="s">
        <v>74</v>
      </c>
      <c r="H206" s="7">
        <v>0.2986111111111111</v>
      </c>
      <c r="I206" s="3" t="s">
        <v>97</v>
      </c>
      <c r="J206" s="3"/>
      <c r="K206" t="str">
        <f t="shared" si="6"/>
        <v xml:space="preserve">Técnica y Metodología Operativa en Vehículos de Ejército - CM1 -  Alberto Rubén </v>
      </c>
    </row>
    <row r="207" spans="1:11" ht="15.75" customHeight="1">
      <c r="A207" s="15" t="s">
        <v>72</v>
      </c>
      <c r="B207" s="3" t="s">
        <v>40</v>
      </c>
      <c r="C207" s="15" t="s">
        <v>21</v>
      </c>
      <c r="D207" s="3" t="s">
        <v>80</v>
      </c>
      <c r="E207" s="13" t="s">
        <v>73</v>
      </c>
      <c r="F207" s="5">
        <v>45991</v>
      </c>
      <c r="G207" s="15" t="s">
        <v>75</v>
      </c>
      <c r="H207" s="7">
        <v>0.63194444444444442</v>
      </c>
      <c r="I207" s="3" t="s">
        <v>97</v>
      </c>
      <c r="J207" s="3"/>
      <c r="K207" t="str">
        <f t="shared" si="6"/>
        <v xml:space="preserve">Técnica y Metodología Operativa en Vehículos de Ejército - CM3 -  Alberto Rubén </v>
      </c>
    </row>
    <row r="208" spans="1:11" ht="15.75" customHeight="1">
      <c r="A208" s="15" t="s">
        <v>72</v>
      </c>
      <c r="B208" s="3" t="s">
        <v>40</v>
      </c>
      <c r="C208" s="15" t="s">
        <v>19</v>
      </c>
      <c r="D208" s="3" t="s">
        <v>80</v>
      </c>
      <c r="E208" s="3" t="s">
        <v>77</v>
      </c>
      <c r="F208" s="5">
        <v>45993</v>
      </c>
      <c r="G208" s="15" t="s">
        <v>74</v>
      </c>
      <c r="H208" s="7">
        <v>0.39583333333333331</v>
      </c>
      <c r="I208" s="3" t="s">
        <v>97</v>
      </c>
      <c r="J208" s="3"/>
      <c r="K208" t="str">
        <f t="shared" si="6"/>
        <v xml:space="preserve">Técnica y Metodología Operativa en Vehículos de Ejército - CM1 -  Alberto Rubén </v>
      </c>
    </row>
    <row r="209" spans="1:11" ht="15.75" customHeight="1">
      <c r="A209" s="15" t="s">
        <v>72</v>
      </c>
      <c r="B209" s="3" t="s">
        <v>40</v>
      </c>
      <c r="C209" s="15" t="s">
        <v>21</v>
      </c>
      <c r="D209" s="3" t="s">
        <v>80</v>
      </c>
      <c r="E209" s="3" t="s">
        <v>77</v>
      </c>
      <c r="F209" s="5">
        <v>45992</v>
      </c>
      <c r="G209" s="15" t="s">
        <v>74</v>
      </c>
      <c r="H209" s="7">
        <v>0.39583333333333331</v>
      </c>
      <c r="I209" s="3" t="s">
        <v>97</v>
      </c>
      <c r="J209" s="3"/>
      <c r="K209" t="str">
        <f t="shared" si="6"/>
        <v xml:space="preserve">Técnica y Metodología Operativa en Vehículos de Ejército - CM3 -  Alberto Rubén </v>
      </c>
    </row>
    <row r="210" spans="1:11" ht="15.75" customHeight="1">
      <c r="A210" s="15" t="s">
        <v>72</v>
      </c>
      <c r="B210" s="3" t="s">
        <v>45</v>
      </c>
      <c r="C210" s="15" t="s">
        <v>20</v>
      </c>
      <c r="D210" s="3" t="s">
        <v>80</v>
      </c>
      <c r="E210" s="13" t="s">
        <v>73</v>
      </c>
      <c r="F210" s="5">
        <v>45985</v>
      </c>
      <c r="G210" s="15" t="s">
        <v>75</v>
      </c>
      <c r="H210" s="7">
        <v>0.63194444444444442</v>
      </c>
      <c r="I210" s="3" t="s">
        <v>97</v>
      </c>
      <c r="J210" s="3"/>
      <c r="K210" t="str">
        <f t="shared" si="6"/>
        <v xml:space="preserve">Transporte, Logística y Abastecimiento I - CM2 -  Alberto Rubén </v>
      </c>
    </row>
    <row r="211" spans="1:11" ht="15.75" customHeight="1">
      <c r="A211" s="15" t="s">
        <v>72</v>
      </c>
      <c r="B211" s="3" t="s">
        <v>45</v>
      </c>
      <c r="C211" s="15" t="s">
        <v>20</v>
      </c>
      <c r="D211" s="3" t="s">
        <v>80</v>
      </c>
      <c r="E211" s="3" t="s">
        <v>77</v>
      </c>
      <c r="F211" s="5">
        <v>45993</v>
      </c>
      <c r="G211" s="15" t="s">
        <v>74</v>
      </c>
      <c r="H211" s="7">
        <v>0.2986111111111111</v>
      </c>
      <c r="I211" s="3" t="s">
        <v>97</v>
      </c>
      <c r="J211" s="3"/>
      <c r="K211" t="str">
        <f t="shared" si="6"/>
        <v xml:space="preserve">Transporte, Logística y Abastecimiento I - CM2 -  Alberto Rubén </v>
      </c>
    </row>
    <row r="212" spans="1:11" ht="13.2">
      <c r="A212" s="17" t="s">
        <v>78</v>
      </c>
      <c r="B212" s="13" t="s">
        <v>65</v>
      </c>
      <c r="C212" s="17" t="s">
        <v>25</v>
      </c>
      <c r="D212" s="3" t="s">
        <v>80</v>
      </c>
      <c r="E212" s="13" t="s">
        <v>73</v>
      </c>
      <c r="F212" s="20">
        <v>45986</v>
      </c>
      <c r="G212" s="17" t="s">
        <v>75</v>
      </c>
      <c r="H212" s="18">
        <v>0.63194444439999997</v>
      </c>
      <c r="I212" s="13" t="s">
        <v>97</v>
      </c>
      <c r="J212" s="13"/>
      <c r="K212" t="str">
        <f t="shared" si="6"/>
        <v xml:space="preserve">Transporte, Logística y Abastecimiento II - CM4 -  Alberto Rubén </v>
      </c>
    </row>
    <row r="213" spans="1:11" ht="15.75" customHeight="1">
      <c r="A213" s="17" t="s">
        <v>78</v>
      </c>
      <c r="B213" s="13" t="s">
        <v>65</v>
      </c>
      <c r="C213" s="17" t="s">
        <v>25</v>
      </c>
      <c r="D213" s="3" t="s">
        <v>80</v>
      </c>
      <c r="E213" s="13" t="s">
        <v>77</v>
      </c>
      <c r="F213" s="20">
        <v>45993</v>
      </c>
      <c r="G213" s="17" t="s">
        <v>75</v>
      </c>
      <c r="H213" s="18">
        <v>0.63194444439999997</v>
      </c>
      <c r="I213" s="13" t="s">
        <v>97</v>
      </c>
      <c r="J213" s="13"/>
      <c r="K213" t="str">
        <f t="shared" si="6"/>
        <v xml:space="preserve">Transporte, Logística y Abastecimiento II - CM4 -  Alberto Rubén </v>
      </c>
    </row>
    <row r="214" spans="1:11" ht="15.75" customHeight="1">
      <c r="A214" s="17" t="s">
        <v>78</v>
      </c>
      <c r="B214" s="13" t="s">
        <v>65</v>
      </c>
      <c r="C214" s="17" t="s">
        <v>25</v>
      </c>
      <c r="D214" s="3" t="s">
        <v>80</v>
      </c>
      <c r="E214" s="13" t="s">
        <v>79</v>
      </c>
      <c r="F214" s="20">
        <v>46000</v>
      </c>
      <c r="G214" s="17" t="s">
        <v>75</v>
      </c>
      <c r="H214" s="18">
        <v>0.63194444439999997</v>
      </c>
      <c r="I214" s="13" t="s">
        <v>97</v>
      </c>
      <c r="J214" s="13"/>
      <c r="K214" t="str">
        <f t="shared" si="6"/>
        <v xml:space="preserve">Transporte, Logística y Abastecimiento II - CM4 -  Alberto Rubén </v>
      </c>
    </row>
    <row r="215" spans="1:11" ht="15.75" customHeight="1">
      <c r="A215" s="15" t="s">
        <v>72</v>
      </c>
      <c r="B215" s="3" t="s">
        <v>31</v>
      </c>
      <c r="C215" s="15" t="s">
        <v>20</v>
      </c>
      <c r="D215" s="3" t="s">
        <v>80</v>
      </c>
      <c r="E215" s="13" t="s">
        <v>73</v>
      </c>
      <c r="F215" s="5">
        <v>45987</v>
      </c>
      <c r="G215" s="15" t="s">
        <v>75</v>
      </c>
      <c r="H215" s="7">
        <v>0.63194444444444442</v>
      </c>
      <c r="I215" s="3" t="s">
        <v>98</v>
      </c>
      <c r="J215" s="3"/>
      <c r="K215" t="str">
        <f t="shared" si="6"/>
        <v>Termodinámica y Motores de Combustión Interna I - CM2 -  Emiliano</v>
      </c>
    </row>
    <row r="216" spans="1:11" ht="15.75" customHeight="1">
      <c r="A216" s="15" t="s">
        <v>72</v>
      </c>
      <c r="B216" s="3" t="s">
        <v>31</v>
      </c>
      <c r="C216" s="15" t="s">
        <v>20</v>
      </c>
      <c r="D216" s="3" t="s">
        <v>80</v>
      </c>
      <c r="E216" s="3" t="s">
        <v>77</v>
      </c>
      <c r="F216" s="5">
        <v>46001</v>
      </c>
      <c r="G216" s="15" t="s">
        <v>75</v>
      </c>
      <c r="H216" s="7">
        <v>0.63194444444444442</v>
      </c>
      <c r="I216" s="3" t="s">
        <v>98</v>
      </c>
      <c r="J216" s="3"/>
      <c r="K216" t="str">
        <f t="shared" si="6"/>
        <v>Termodinámica y Motores de Combustión Interna I - CM2 -  Emiliano</v>
      </c>
    </row>
    <row r="217" spans="1:11" ht="15.75" customHeight="1">
      <c r="A217" s="15" t="s">
        <v>72</v>
      </c>
      <c r="B217" s="3" t="s">
        <v>31</v>
      </c>
      <c r="C217" s="15" t="s">
        <v>71</v>
      </c>
      <c r="D217" s="3" t="s">
        <v>80</v>
      </c>
      <c r="E217" s="13" t="s">
        <v>73</v>
      </c>
      <c r="F217" s="5">
        <v>45986</v>
      </c>
      <c r="G217" s="15" t="s">
        <v>75</v>
      </c>
      <c r="H217" s="7">
        <v>0.63194444444444442</v>
      </c>
      <c r="I217" s="3" t="s">
        <v>98</v>
      </c>
      <c r="J217" s="3"/>
      <c r="K217" t="str">
        <f t="shared" si="6"/>
        <v>Termodinámica y Motores de Combustión Interna I - ELEC1 -  Emiliano</v>
      </c>
    </row>
    <row r="218" spans="1:11" ht="15.75" customHeight="1">
      <c r="A218" s="15" t="s">
        <v>72</v>
      </c>
      <c r="B218" s="3" t="s">
        <v>31</v>
      </c>
      <c r="C218" s="15" t="s">
        <v>71</v>
      </c>
      <c r="D218" s="3" t="s">
        <v>80</v>
      </c>
      <c r="E218" s="3" t="s">
        <v>77</v>
      </c>
      <c r="F218" s="5">
        <v>45993</v>
      </c>
      <c r="G218" s="15" t="s">
        <v>75</v>
      </c>
      <c r="H218" s="7">
        <v>0.63194444444444442</v>
      </c>
      <c r="I218" s="3" t="s">
        <v>98</v>
      </c>
      <c r="J218" s="3"/>
      <c r="K218" t="str">
        <f t="shared" si="6"/>
        <v>Termodinámica y Motores de Combustión Interna I - ELEC1 -  Emiliano</v>
      </c>
    </row>
    <row r="219" spans="1:11" ht="15.75" customHeight="1">
      <c r="A219" s="15" t="s">
        <v>72</v>
      </c>
      <c r="B219" s="3" t="s">
        <v>29</v>
      </c>
      <c r="C219" s="15" t="s">
        <v>20</v>
      </c>
      <c r="D219" s="3" t="s">
        <v>80</v>
      </c>
      <c r="E219" s="13" t="s">
        <v>73</v>
      </c>
      <c r="F219" s="5">
        <v>45986</v>
      </c>
      <c r="G219" s="15" t="s">
        <v>75</v>
      </c>
      <c r="H219" s="7">
        <v>0.63194444444444442</v>
      </c>
      <c r="I219" s="3" t="s">
        <v>99</v>
      </c>
      <c r="J219" s="3"/>
      <c r="K219" t="str">
        <f t="shared" si="6"/>
        <v>Régimen Funcional de Arsenales - CM2 -  Lucia</v>
      </c>
    </row>
    <row r="220" spans="1:11" ht="13.2">
      <c r="A220" s="15" t="s">
        <v>72</v>
      </c>
      <c r="B220" s="3" t="s">
        <v>29</v>
      </c>
      <c r="C220" s="15" t="s">
        <v>20</v>
      </c>
      <c r="D220" s="3" t="s">
        <v>80</v>
      </c>
      <c r="E220" s="3" t="s">
        <v>77</v>
      </c>
      <c r="F220" s="5">
        <v>46000</v>
      </c>
      <c r="G220" s="15" t="s">
        <v>74</v>
      </c>
      <c r="H220" s="7">
        <v>0.39583333333333331</v>
      </c>
      <c r="I220" s="3" t="s">
        <v>99</v>
      </c>
      <c r="J220" s="3"/>
      <c r="K220" t="str">
        <f t="shared" si="6"/>
        <v>Régimen Funcional de Arsenales - CM2 -  Lucia</v>
      </c>
    </row>
    <row r="221" spans="1:11" ht="15.75" customHeight="1">
      <c r="A221" s="15" t="s">
        <v>78</v>
      </c>
      <c r="B221" s="3" t="s">
        <v>50</v>
      </c>
      <c r="C221" s="15" t="s">
        <v>25</v>
      </c>
      <c r="D221" s="3" t="s">
        <v>80</v>
      </c>
      <c r="E221" s="3" t="s">
        <v>73</v>
      </c>
      <c r="F221" s="5">
        <v>45980</v>
      </c>
      <c r="G221" s="15" t="s">
        <v>74</v>
      </c>
      <c r="H221" s="7">
        <v>0.29861111109999999</v>
      </c>
      <c r="I221" s="3" t="s">
        <v>100</v>
      </c>
      <c r="J221" s="3"/>
      <c r="K221" t="str">
        <f t="shared" si="6"/>
        <v>Sistemas del Automotor - CM4 -  Miqueas</v>
      </c>
    </row>
    <row r="222" spans="1:11" ht="15.75" customHeight="1">
      <c r="A222" s="17" t="s">
        <v>78</v>
      </c>
      <c r="B222" s="13" t="s">
        <v>50</v>
      </c>
      <c r="C222" s="17" t="s">
        <v>25</v>
      </c>
      <c r="D222" s="3" t="s">
        <v>80</v>
      </c>
      <c r="E222" s="13" t="s">
        <v>77</v>
      </c>
      <c r="F222" s="20">
        <v>45994</v>
      </c>
      <c r="G222" s="17" t="s">
        <v>74</v>
      </c>
      <c r="H222" s="18">
        <v>0.39583333329999998</v>
      </c>
      <c r="I222" s="13" t="s">
        <v>100</v>
      </c>
      <c r="J222" s="13"/>
      <c r="K222" t="str">
        <f t="shared" si="6"/>
        <v>Sistemas del Automotor - CM4 -  Miqueas</v>
      </c>
    </row>
    <row r="223" spans="1:11" ht="15.75" customHeight="1">
      <c r="A223" s="17" t="s">
        <v>78</v>
      </c>
      <c r="B223" s="13" t="s">
        <v>50</v>
      </c>
      <c r="C223" s="17" t="s">
        <v>25</v>
      </c>
      <c r="D223" s="3" t="s">
        <v>80</v>
      </c>
      <c r="E223" s="13" t="s">
        <v>79</v>
      </c>
      <c r="F223" s="20">
        <v>46001</v>
      </c>
      <c r="G223" s="17" t="s">
        <v>74</v>
      </c>
      <c r="H223" s="18">
        <v>0.39583333329999998</v>
      </c>
      <c r="I223" s="13" t="s">
        <v>100</v>
      </c>
      <c r="J223" s="13"/>
      <c r="K223" t="str">
        <f t="shared" si="6"/>
        <v>Sistemas del Automotor - CM4 -  Miqueas</v>
      </c>
    </row>
    <row r="224" spans="1:11" ht="15.75" customHeight="1">
      <c r="A224" s="15" t="s">
        <v>78</v>
      </c>
      <c r="B224" s="3" t="s">
        <v>61</v>
      </c>
      <c r="C224" s="15" t="s">
        <v>24</v>
      </c>
      <c r="D224" s="3" t="s">
        <v>80</v>
      </c>
      <c r="E224" s="3" t="s">
        <v>73</v>
      </c>
      <c r="F224" s="5">
        <v>45991</v>
      </c>
      <c r="G224" s="15" t="s">
        <v>75</v>
      </c>
      <c r="H224" s="7">
        <v>0.63194444439999997</v>
      </c>
      <c r="I224" s="3" t="s">
        <v>100</v>
      </c>
      <c r="J224" s="3"/>
      <c r="K224" t="str">
        <f t="shared" si="6"/>
        <v>Sistemas Eléctricos y Electrónicos en Vehículos a Rueda - RUE2 -  Miqueas</v>
      </c>
    </row>
    <row r="225" spans="1:11" ht="15.75" customHeight="1">
      <c r="A225" s="15" t="s">
        <v>78</v>
      </c>
      <c r="B225" s="3" t="s">
        <v>61</v>
      </c>
      <c r="C225" s="15" t="s">
        <v>24</v>
      </c>
      <c r="D225" s="3" t="s">
        <v>80</v>
      </c>
      <c r="E225" s="3" t="s">
        <v>77</v>
      </c>
      <c r="F225" s="5">
        <v>45994</v>
      </c>
      <c r="G225" s="15" t="s">
        <v>74</v>
      </c>
      <c r="H225" s="7">
        <v>0.39583333329999998</v>
      </c>
      <c r="I225" s="3" t="s">
        <v>100</v>
      </c>
      <c r="J225" s="3"/>
      <c r="K225" t="str">
        <f t="shared" si="6"/>
        <v>Sistemas Eléctricos y Electrónicos en Vehículos a Rueda - RUE2 -  Miqueas</v>
      </c>
    </row>
    <row r="226" spans="1:11" ht="15.75" customHeight="1">
      <c r="A226" s="15" t="s">
        <v>78</v>
      </c>
      <c r="B226" s="3" t="s">
        <v>61</v>
      </c>
      <c r="C226" s="15" t="s">
        <v>24</v>
      </c>
      <c r="D226" s="3" t="s">
        <v>80</v>
      </c>
      <c r="E226" s="3" t="s">
        <v>79</v>
      </c>
      <c r="F226" s="5">
        <v>46002</v>
      </c>
      <c r="G226" s="15" t="s">
        <v>74</v>
      </c>
      <c r="H226" s="7">
        <v>0.39583333329999998</v>
      </c>
      <c r="I226" s="3" t="s">
        <v>100</v>
      </c>
      <c r="J226" s="3"/>
      <c r="K226" t="str">
        <f t="shared" si="6"/>
        <v>Sistemas Eléctricos y Electrónicos en Vehículos a Rueda - RUE2 -  Miqueas</v>
      </c>
    </row>
    <row r="227" spans="1:11" ht="15.75" customHeight="1">
      <c r="A227" s="15" t="s">
        <v>72</v>
      </c>
      <c r="B227" s="3" t="s">
        <v>32</v>
      </c>
      <c r="C227" s="15" t="s">
        <v>19</v>
      </c>
      <c r="D227" s="3" t="s">
        <v>80</v>
      </c>
      <c r="E227" s="13" t="s">
        <v>73</v>
      </c>
      <c r="F227" s="5">
        <v>45987</v>
      </c>
      <c r="G227" s="15" t="s">
        <v>74</v>
      </c>
      <c r="H227" s="7">
        <v>0.2986111111111111</v>
      </c>
      <c r="I227" s="3" t="s">
        <v>100</v>
      </c>
      <c r="J227" s="3"/>
      <c r="K227" t="str">
        <f t="shared" si="6"/>
        <v>Tecnología del Automotor - CM1 -  Miqueas</v>
      </c>
    </row>
    <row r="228" spans="1:11" ht="15.75" customHeight="1">
      <c r="A228" s="15" t="s">
        <v>72</v>
      </c>
      <c r="B228" s="3" t="s">
        <v>32</v>
      </c>
      <c r="C228" s="15" t="s">
        <v>19</v>
      </c>
      <c r="D228" s="3" t="s">
        <v>80</v>
      </c>
      <c r="E228" s="3" t="s">
        <v>77</v>
      </c>
      <c r="F228" s="5">
        <v>45994</v>
      </c>
      <c r="G228" s="15" t="s">
        <v>74</v>
      </c>
      <c r="H228" s="7">
        <v>0.2986111111111111</v>
      </c>
      <c r="I228" s="3" t="s">
        <v>100</v>
      </c>
      <c r="J228" s="3"/>
      <c r="K228" t="str">
        <f t="shared" si="6"/>
        <v>Tecnología del Automotor - CM1 -  Miqueas</v>
      </c>
    </row>
    <row r="229" spans="1:11" ht="15.75" customHeight="1">
      <c r="A229" s="15" t="s">
        <v>78</v>
      </c>
      <c r="B229" s="3" t="s">
        <v>51</v>
      </c>
      <c r="C229" s="15" t="s">
        <v>24</v>
      </c>
      <c r="D229" s="3" t="s">
        <v>80</v>
      </c>
      <c r="E229" s="3" t="s">
        <v>73</v>
      </c>
      <c r="F229" s="5">
        <v>45986</v>
      </c>
      <c r="G229" s="15" t="s">
        <v>75</v>
      </c>
      <c r="H229" s="7">
        <v>0.63194444439999997</v>
      </c>
      <c r="I229" s="3" t="s">
        <v>101</v>
      </c>
      <c r="J229" s="3"/>
      <c r="K229" t="str">
        <f t="shared" si="6"/>
        <v>Tecnologías de Vehículos a Rueda - RUE2 -  Alexis</v>
      </c>
    </row>
    <row r="230" spans="1:11" ht="15.75" customHeight="1">
      <c r="A230" s="15" t="s">
        <v>78</v>
      </c>
      <c r="B230" s="3" t="s">
        <v>51</v>
      </c>
      <c r="C230" s="15" t="s">
        <v>24</v>
      </c>
      <c r="D230" s="3" t="s">
        <v>80</v>
      </c>
      <c r="E230" s="3" t="s">
        <v>77</v>
      </c>
      <c r="F230" s="5">
        <v>45993</v>
      </c>
      <c r="G230" s="15" t="s">
        <v>75</v>
      </c>
      <c r="H230" s="7">
        <v>0.63194444439999997</v>
      </c>
      <c r="I230" s="3" t="s">
        <v>101</v>
      </c>
      <c r="J230" s="3"/>
      <c r="K230" t="str">
        <f t="shared" si="6"/>
        <v>Tecnologías de Vehículos a Rueda - RUE2 -  Alexis</v>
      </c>
    </row>
    <row r="231" spans="1:11" ht="15.75" customHeight="1">
      <c r="A231" s="15" t="s">
        <v>78</v>
      </c>
      <c r="B231" s="3" t="s">
        <v>51</v>
      </c>
      <c r="C231" s="15" t="s">
        <v>24</v>
      </c>
      <c r="D231" s="3" t="s">
        <v>80</v>
      </c>
      <c r="E231" s="3" t="s">
        <v>79</v>
      </c>
      <c r="F231" s="5">
        <v>46000</v>
      </c>
      <c r="G231" s="15" t="s">
        <v>75</v>
      </c>
      <c r="H231" s="7">
        <v>0.63194444439999997</v>
      </c>
      <c r="I231" s="3" t="s">
        <v>101</v>
      </c>
      <c r="J231" s="3"/>
      <c r="K231" t="str">
        <f t="shared" si="6"/>
        <v>Tecnologías de Vehículos a Rueda - RUE2 -  Alexis</v>
      </c>
    </row>
    <row r="232" spans="1:11" ht="15.75" customHeight="1">
      <c r="A232" s="17" t="s">
        <v>78</v>
      </c>
      <c r="B232" s="13" t="s">
        <v>55</v>
      </c>
      <c r="C232" s="17" t="s">
        <v>26</v>
      </c>
      <c r="D232" s="3" t="s">
        <v>80</v>
      </c>
      <c r="E232" s="13" t="s">
        <v>73</v>
      </c>
      <c r="F232" s="20">
        <v>45985</v>
      </c>
      <c r="G232" s="17" t="s">
        <v>74</v>
      </c>
      <c r="H232" s="18">
        <v>0.29861111109999999</v>
      </c>
      <c r="I232" s="13" t="s">
        <v>102</v>
      </c>
      <c r="J232" s="13"/>
      <c r="K232" t="str">
        <f t="shared" si="6"/>
        <v>Tecnologías de Mantenimiento Preventivo en Vehículos - CM5 -  Manuel</v>
      </c>
    </row>
    <row r="233" spans="1:11" ht="15.75" customHeight="1">
      <c r="A233" s="17" t="s">
        <v>78</v>
      </c>
      <c r="B233" s="13" t="s">
        <v>55</v>
      </c>
      <c r="C233" s="17" t="s">
        <v>26</v>
      </c>
      <c r="D233" s="3" t="s">
        <v>80</v>
      </c>
      <c r="E233" s="13" t="s">
        <v>77</v>
      </c>
      <c r="F233" s="20">
        <v>45992</v>
      </c>
      <c r="G233" s="17" t="s">
        <v>74</v>
      </c>
      <c r="H233" s="18">
        <v>0.29861111109999999</v>
      </c>
      <c r="I233" s="13" t="s">
        <v>102</v>
      </c>
      <c r="J233" s="13"/>
      <c r="K233" t="str">
        <f t="shared" si="6"/>
        <v>Tecnologías de Mantenimiento Preventivo en Vehículos - CM5 -  Manuel</v>
      </c>
    </row>
    <row r="234" spans="1:11" ht="15.75" customHeight="1">
      <c r="A234" s="17" t="s">
        <v>78</v>
      </c>
      <c r="B234" s="13" t="s">
        <v>55</v>
      </c>
      <c r="C234" s="17" t="s">
        <v>26</v>
      </c>
      <c r="D234" s="3" t="s">
        <v>80</v>
      </c>
      <c r="E234" s="13" t="s">
        <v>79</v>
      </c>
      <c r="F234" s="20">
        <v>46001</v>
      </c>
      <c r="G234" s="17" t="s">
        <v>74</v>
      </c>
      <c r="H234" s="18">
        <v>0.39583333329999998</v>
      </c>
      <c r="I234" s="13" t="s">
        <v>102</v>
      </c>
      <c r="J234" s="13"/>
      <c r="K234" t="str">
        <f t="shared" si="6"/>
        <v>Tecnologías de Mantenimiento Preventivo en Vehículos - CM5 -  Manuel</v>
      </c>
    </row>
    <row r="235" spans="1:11" ht="15.75" customHeight="1">
      <c r="A235" s="15" t="s">
        <v>72</v>
      </c>
      <c r="B235" s="3" t="s">
        <v>45</v>
      </c>
      <c r="C235" s="15" t="s">
        <v>19</v>
      </c>
      <c r="D235" s="3" t="s">
        <v>80</v>
      </c>
      <c r="E235" s="13" t="s">
        <v>73</v>
      </c>
      <c r="F235" s="5">
        <v>45980</v>
      </c>
      <c r="G235" s="15" t="s">
        <v>74</v>
      </c>
      <c r="H235" s="7">
        <v>0.2986111111111111</v>
      </c>
      <c r="I235" s="3" t="s">
        <v>103</v>
      </c>
      <c r="J235" s="3"/>
      <c r="K235" t="str">
        <f t="shared" si="6"/>
        <v>Transporte, Logística y Abastecimiento I - CM1 -  Osvaldo</v>
      </c>
    </row>
    <row r="236" spans="1:11" ht="15.75" customHeight="1">
      <c r="A236" s="15" t="s">
        <v>72</v>
      </c>
      <c r="B236" s="3" t="s">
        <v>45</v>
      </c>
      <c r="C236" s="15" t="s">
        <v>21</v>
      </c>
      <c r="D236" s="3" t="s">
        <v>80</v>
      </c>
      <c r="E236" s="13" t="s">
        <v>73</v>
      </c>
      <c r="F236" s="5">
        <v>45987</v>
      </c>
      <c r="G236" s="15" t="s">
        <v>74</v>
      </c>
      <c r="H236" s="7">
        <v>0.2986111111111111</v>
      </c>
      <c r="I236" s="3" t="s">
        <v>103</v>
      </c>
      <c r="J236" s="3"/>
      <c r="K236" t="str">
        <f t="shared" si="6"/>
        <v>Transporte, Logística y Abastecimiento I - CM3 -  Osvaldo</v>
      </c>
    </row>
    <row r="237" spans="1:11" ht="15.75" customHeight="1">
      <c r="A237" s="15" t="s">
        <v>72</v>
      </c>
      <c r="B237" s="3" t="s">
        <v>45</v>
      </c>
      <c r="C237" s="15" t="s">
        <v>19</v>
      </c>
      <c r="D237" s="3" t="s">
        <v>80</v>
      </c>
      <c r="E237" s="3" t="s">
        <v>77</v>
      </c>
      <c r="F237" s="5">
        <v>46001</v>
      </c>
      <c r="G237" s="15" t="s">
        <v>74</v>
      </c>
      <c r="H237" s="7">
        <v>0.2986111111111111</v>
      </c>
      <c r="I237" s="3" t="s">
        <v>103</v>
      </c>
      <c r="J237" s="3"/>
      <c r="K237" t="str">
        <f t="shared" si="6"/>
        <v>Transporte, Logística y Abastecimiento I - CM1 -  Osvaldo</v>
      </c>
    </row>
    <row r="238" spans="1:11" ht="15.75" customHeight="1">
      <c r="A238" s="15" t="s">
        <v>72</v>
      </c>
      <c r="B238" s="3" t="s">
        <v>45</v>
      </c>
      <c r="C238" s="15" t="s">
        <v>21</v>
      </c>
      <c r="D238" s="3" t="s">
        <v>80</v>
      </c>
      <c r="E238" s="3" t="s">
        <v>77</v>
      </c>
      <c r="F238" s="5">
        <v>46001</v>
      </c>
      <c r="G238" s="15" t="s">
        <v>74</v>
      </c>
      <c r="H238" s="7">
        <v>0.2986111111111111</v>
      </c>
      <c r="I238" s="3" t="s">
        <v>103</v>
      </c>
      <c r="J238" s="3"/>
      <c r="K238" t="str">
        <f t="shared" si="6"/>
        <v>Transporte, Logística y Abastecimiento I - CM3 -  Osvaldo</v>
      </c>
    </row>
    <row r="239" spans="1:11" ht="15.75" customHeight="1">
      <c r="A239" s="15" t="s">
        <v>72</v>
      </c>
      <c r="B239" s="3" t="s">
        <v>42</v>
      </c>
      <c r="C239" s="15" t="s">
        <v>16</v>
      </c>
      <c r="D239" s="3" t="s">
        <v>80</v>
      </c>
      <c r="E239" s="13" t="s">
        <v>73</v>
      </c>
      <c r="F239" s="5">
        <v>45991</v>
      </c>
      <c r="G239" s="15" t="s">
        <v>75</v>
      </c>
      <c r="H239" s="7">
        <v>0.63194444444444442</v>
      </c>
      <c r="I239" s="13" t="s">
        <v>104</v>
      </c>
      <c r="J239" s="3"/>
      <c r="K239" t="str">
        <f t="shared" si="6"/>
        <v>Tecnologías de los Sistemas de Vehículos Blindados - ORU1 -  Héctor</v>
      </c>
    </row>
    <row r="240" spans="1:11" ht="15.75" customHeight="1">
      <c r="A240" s="15" t="s">
        <v>72</v>
      </c>
      <c r="B240" s="3" t="s">
        <v>42</v>
      </c>
      <c r="C240" s="15" t="s">
        <v>16</v>
      </c>
      <c r="D240" s="3" t="s">
        <v>80</v>
      </c>
      <c r="E240" s="3" t="s">
        <v>77</v>
      </c>
      <c r="F240" s="5">
        <v>45993</v>
      </c>
      <c r="G240" s="15" t="s">
        <v>74</v>
      </c>
      <c r="H240" s="7">
        <v>0.39583333333333331</v>
      </c>
      <c r="I240" s="3" t="s">
        <v>104</v>
      </c>
      <c r="J240" s="3"/>
      <c r="K240" t="str">
        <f t="shared" si="6"/>
        <v>Tecnologías de los Sistemas de Vehículos Blindados - ORU1 -  Héctor</v>
      </c>
    </row>
    <row r="241" spans="1:11" ht="15.75" customHeight="1">
      <c r="A241" s="15" t="s">
        <v>72</v>
      </c>
      <c r="B241" s="3" t="s">
        <v>33</v>
      </c>
      <c r="C241" s="15" t="s">
        <v>71</v>
      </c>
      <c r="D241" s="3" t="s">
        <v>80</v>
      </c>
      <c r="E241" s="13" t="s">
        <v>73</v>
      </c>
      <c r="F241" s="5">
        <v>45986</v>
      </c>
      <c r="G241" s="15" t="s">
        <v>74</v>
      </c>
      <c r="H241" s="7">
        <v>0.39583333333333331</v>
      </c>
      <c r="I241" s="13" t="s">
        <v>105</v>
      </c>
      <c r="J241" s="3"/>
      <c r="K241" t="str">
        <f t="shared" si="6"/>
        <v xml:space="preserve">Procesos Mecánicos - ELEC1 -  Hernán Darío </v>
      </c>
    </row>
    <row r="242" spans="1:11" ht="15.75" customHeight="1">
      <c r="A242" s="15" t="s">
        <v>72</v>
      </c>
      <c r="B242" s="3" t="s">
        <v>33</v>
      </c>
      <c r="C242" s="15" t="s">
        <v>71</v>
      </c>
      <c r="D242" s="3" t="s">
        <v>80</v>
      </c>
      <c r="E242" s="3" t="s">
        <v>77</v>
      </c>
      <c r="F242" s="5">
        <v>46000</v>
      </c>
      <c r="G242" s="15" t="s">
        <v>74</v>
      </c>
      <c r="H242" s="7">
        <v>0.39583333333333331</v>
      </c>
      <c r="I242" s="3" t="s">
        <v>105</v>
      </c>
      <c r="J242" s="3"/>
      <c r="K242" t="str">
        <f t="shared" si="6"/>
        <v xml:space="preserve">Procesos Mecánicos - ELEC1 -  Hernán Darío </v>
      </c>
    </row>
    <row r="243" spans="1:11" ht="15.75" customHeight="1">
      <c r="A243" s="15" t="s">
        <v>78</v>
      </c>
      <c r="B243" s="3" t="s">
        <v>63</v>
      </c>
      <c r="C243" s="15" t="s">
        <v>70</v>
      </c>
      <c r="D243" s="3" t="s">
        <v>80</v>
      </c>
      <c r="E243" s="3" t="s">
        <v>73</v>
      </c>
      <c r="F243" s="5">
        <v>45985</v>
      </c>
      <c r="G243" s="15" t="s">
        <v>74</v>
      </c>
      <c r="H243" s="7">
        <v>0.39583333329999998</v>
      </c>
      <c r="I243" s="3" t="s">
        <v>105</v>
      </c>
      <c r="J243" s="3"/>
      <c r="K243" t="str">
        <f t="shared" si="6"/>
        <v xml:space="preserve">Sistemas de Autotrónica - ELEC2 -  Hernán Darío </v>
      </c>
    </row>
    <row r="244" spans="1:11" ht="15.75" customHeight="1">
      <c r="A244" s="15" t="s">
        <v>78</v>
      </c>
      <c r="B244" s="3" t="s">
        <v>63</v>
      </c>
      <c r="C244" s="15" t="s">
        <v>70</v>
      </c>
      <c r="D244" s="3" t="s">
        <v>80</v>
      </c>
      <c r="E244" s="3" t="s">
        <v>77</v>
      </c>
      <c r="F244" s="5">
        <v>45993</v>
      </c>
      <c r="G244" s="15" t="s">
        <v>75</v>
      </c>
      <c r="H244" s="7">
        <v>0.63194444439999997</v>
      </c>
      <c r="I244" s="3" t="s">
        <v>105</v>
      </c>
      <c r="J244" s="3"/>
      <c r="K244" t="str">
        <f t="shared" si="6"/>
        <v xml:space="preserve">Sistemas de Autotrónica - ELEC2 -  Hernán Darío </v>
      </c>
    </row>
    <row r="245" spans="1:11" ht="15.75" customHeight="1">
      <c r="A245" s="15" t="s">
        <v>78</v>
      </c>
      <c r="B245" s="3" t="s">
        <v>63</v>
      </c>
      <c r="C245" s="15" t="s">
        <v>70</v>
      </c>
      <c r="D245" s="3" t="s">
        <v>80</v>
      </c>
      <c r="E245" s="3" t="s">
        <v>79</v>
      </c>
      <c r="F245" s="5">
        <v>46000</v>
      </c>
      <c r="G245" s="15" t="s">
        <v>74</v>
      </c>
      <c r="H245" s="7">
        <v>0.39583333329999998</v>
      </c>
      <c r="I245" s="3" t="s">
        <v>105</v>
      </c>
      <c r="J245" s="3"/>
      <c r="K245" t="str">
        <f t="shared" si="6"/>
        <v xml:space="preserve">Sistemas de Autotrónica - ELEC2 -  Hernán Darío </v>
      </c>
    </row>
    <row r="246" spans="1:11" ht="15.75" customHeight="1">
      <c r="A246" s="15" t="s">
        <v>78</v>
      </c>
      <c r="B246" s="3" t="s">
        <v>48</v>
      </c>
      <c r="C246" s="15" t="s">
        <v>70</v>
      </c>
      <c r="D246" s="3" t="s">
        <v>80</v>
      </c>
      <c r="E246" s="3" t="s">
        <v>73</v>
      </c>
      <c r="F246" s="5">
        <v>45986</v>
      </c>
      <c r="G246" s="15" t="s">
        <v>74</v>
      </c>
      <c r="H246" s="7">
        <v>0.29861111109999999</v>
      </c>
      <c r="I246" s="3" t="s">
        <v>105</v>
      </c>
      <c r="J246" s="3"/>
      <c r="K246" t="str">
        <f t="shared" si="6"/>
        <v xml:space="preserve">Sistemas Electromecánicos del Automotor - ELEC2 -  Hernán Darío </v>
      </c>
    </row>
    <row r="247" spans="1:11" ht="15.75" customHeight="1">
      <c r="A247" s="15" t="s">
        <v>78</v>
      </c>
      <c r="B247" s="3" t="s">
        <v>48</v>
      </c>
      <c r="C247" s="15" t="s">
        <v>70</v>
      </c>
      <c r="D247" s="3" t="s">
        <v>80</v>
      </c>
      <c r="E247" s="3" t="s">
        <v>77</v>
      </c>
      <c r="F247" s="5">
        <v>45993</v>
      </c>
      <c r="G247" s="15" t="s">
        <v>74</v>
      </c>
      <c r="H247" s="7">
        <v>0.29861111109999999</v>
      </c>
      <c r="I247" s="3" t="s">
        <v>105</v>
      </c>
      <c r="J247" s="3"/>
      <c r="K247" t="str">
        <f t="shared" si="6"/>
        <v xml:space="preserve">Sistemas Electromecánicos del Automotor - ELEC2 -  Hernán Darío </v>
      </c>
    </row>
    <row r="248" spans="1:11" ht="15.75" customHeight="1">
      <c r="A248" s="15" t="s">
        <v>78</v>
      </c>
      <c r="B248" s="3" t="s">
        <v>48</v>
      </c>
      <c r="C248" s="15" t="s">
        <v>70</v>
      </c>
      <c r="D248" s="3" t="s">
        <v>80</v>
      </c>
      <c r="E248" s="3" t="s">
        <v>79</v>
      </c>
      <c r="F248" s="5">
        <v>46000</v>
      </c>
      <c r="G248" s="15" t="s">
        <v>74</v>
      </c>
      <c r="H248" s="7">
        <v>0.29861111109999999</v>
      </c>
      <c r="I248" s="3" t="s">
        <v>105</v>
      </c>
      <c r="J248" s="3"/>
      <c r="K248" t="str">
        <f t="shared" si="6"/>
        <v xml:space="preserve">Sistemas Electromecánicos del Automotor - ELEC2 -  Hernán Darío </v>
      </c>
    </row>
    <row r="249" spans="1:11" ht="15.75" customHeight="1">
      <c r="A249" s="15" t="s">
        <v>72</v>
      </c>
      <c r="B249" s="3" t="s">
        <v>38</v>
      </c>
      <c r="C249" s="15" t="s">
        <v>71</v>
      </c>
      <c r="D249" s="3" t="s">
        <v>80</v>
      </c>
      <c r="E249" s="13" t="s">
        <v>73</v>
      </c>
      <c r="F249" s="5">
        <v>45991</v>
      </c>
      <c r="G249" s="15" t="s">
        <v>74</v>
      </c>
      <c r="H249" s="7">
        <v>0.2986111111111111</v>
      </c>
      <c r="I249" s="3" t="s">
        <v>105</v>
      </c>
      <c r="J249" s="3"/>
      <c r="K249" t="str">
        <f t="shared" si="6"/>
        <v xml:space="preserve">Técnica y Metodología Operativa en Sistemas Eléctricos y Electrónicos del Vehículo - ELEC1 -  Hernán Darío </v>
      </c>
    </row>
    <row r="250" spans="1:11" ht="15.75" customHeight="1">
      <c r="A250" s="15" t="s">
        <v>72</v>
      </c>
      <c r="B250" s="3" t="s">
        <v>38</v>
      </c>
      <c r="C250" s="15" t="s">
        <v>71</v>
      </c>
      <c r="D250" s="3" t="s">
        <v>80</v>
      </c>
      <c r="E250" s="3" t="s">
        <v>77</v>
      </c>
      <c r="F250" s="5">
        <v>45992</v>
      </c>
      <c r="G250" s="15" t="s">
        <v>75</v>
      </c>
      <c r="H250" s="7">
        <v>0.63194444444444442</v>
      </c>
      <c r="I250" s="3" t="s">
        <v>105</v>
      </c>
      <c r="J250" s="3"/>
      <c r="K250" t="str">
        <f t="shared" si="6"/>
        <v xml:space="preserve">Técnica y Metodología Operativa en Sistemas Eléctricos y Electrónicos del Vehículo - ELEC1 -  Hernán Darío </v>
      </c>
    </row>
    <row r="251" spans="1:11" ht="15.75" customHeight="1">
      <c r="A251" s="15" t="s">
        <v>72</v>
      </c>
      <c r="B251" s="3" t="s">
        <v>43</v>
      </c>
      <c r="C251" s="15" t="s">
        <v>71</v>
      </c>
      <c r="D251" s="3" t="s">
        <v>80</v>
      </c>
      <c r="E251" s="13" t="s">
        <v>73</v>
      </c>
      <c r="F251" s="5">
        <v>45991</v>
      </c>
      <c r="G251" s="15" t="s">
        <v>75</v>
      </c>
      <c r="H251" s="7">
        <v>0.63194444444444442</v>
      </c>
      <c r="I251" s="3" t="s">
        <v>105</v>
      </c>
      <c r="J251" s="3"/>
      <c r="K251" t="str">
        <f t="shared" si="6"/>
        <v xml:space="preserve">Tecnologías de Autotrónica - ELEC1 -  Hernán Darío </v>
      </c>
    </row>
    <row r="252" spans="1:11" ht="15.75" customHeight="1">
      <c r="A252" s="15" t="s">
        <v>72</v>
      </c>
      <c r="B252" s="3" t="s">
        <v>43</v>
      </c>
      <c r="C252" s="15" t="s">
        <v>71</v>
      </c>
      <c r="D252" s="3" t="s">
        <v>80</v>
      </c>
      <c r="E252" s="3" t="s">
        <v>77</v>
      </c>
      <c r="F252" s="5">
        <v>45993</v>
      </c>
      <c r="G252" s="15" t="s">
        <v>74</v>
      </c>
      <c r="H252" s="7">
        <v>0.2986111111111111</v>
      </c>
      <c r="I252" s="3" t="s">
        <v>105</v>
      </c>
      <c r="J252" s="3"/>
      <c r="K252" t="str">
        <f t="shared" si="6"/>
        <v xml:space="preserve">Tecnologías de Autotrónica - ELEC1 -  Hernán Darío </v>
      </c>
    </row>
    <row r="253" spans="1:11" ht="15.75" customHeight="1">
      <c r="A253" s="15" t="s">
        <v>72</v>
      </c>
      <c r="B253" s="3" t="s">
        <v>29</v>
      </c>
      <c r="C253" s="15" t="s">
        <v>17</v>
      </c>
      <c r="D253" s="3" t="s">
        <v>80</v>
      </c>
      <c r="E253" s="13" t="s">
        <v>73</v>
      </c>
      <c r="F253" s="5">
        <v>45988</v>
      </c>
      <c r="G253" s="15" t="s">
        <v>74</v>
      </c>
      <c r="H253" s="7">
        <v>0.2986111111111111</v>
      </c>
      <c r="I253" s="13" t="s">
        <v>106</v>
      </c>
      <c r="J253" s="3"/>
      <c r="K253" t="str">
        <f t="shared" si="6"/>
        <v>Régimen Funcional de Arsenales - ING1 -  Lucas</v>
      </c>
    </row>
    <row r="254" spans="1:11" ht="15.75" customHeight="1">
      <c r="A254" s="15" t="s">
        <v>72</v>
      </c>
      <c r="B254" s="3" t="s">
        <v>29</v>
      </c>
      <c r="C254" s="15" t="s">
        <v>17</v>
      </c>
      <c r="D254" s="3" t="s">
        <v>80</v>
      </c>
      <c r="E254" s="3" t="s">
        <v>77</v>
      </c>
      <c r="F254" s="5">
        <v>45993</v>
      </c>
      <c r="G254" s="15" t="s">
        <v>75</v>
      </c>
      <c r="H254" s="7">
        <v>0.63194444444444442</v>
      </c>
      <c r="I254" s="3" t="s">
        <v>106</v>
      </c>
      <c r="J254" s="3"/>
      <c r="K254" t="str">
        <f t="shared" si="6"/>
        <v>Régimen Funcional de Arsenales - ING1 -  Lucas</v>
      </c>
    </row>
    <row r="255" spans="1:11" ht="15.75" customHeight="1">
      <c r="A255" s="15" t="s">
        <v>72</v>
      </c>
      <c r="B255" s="3" t="s">
        <v>29</v>
      </c>
      <c r="C255" s="15" t="s">
        <v>16</v>
      </c>
      <c r="D255" s="3" t="s">
        <v>80</v>
      </c>
      <c r="E255" s="13" t="s">
        <v>73</v>
      </c>
      <c r="F255" s="5">
        <v>45988</v>
      </c>
      <c r="G255" s="15" t="s">
        <v>74</v>
      </c>
      <c r="H255" s="7">
        <v>0.2986111111111111</v>
      </c>
      <c r="I255" s="13" t="s">
        <v>106</v>
      </c>
      <c r="J255" s="3"/>
      <c r="K255" t="str">
        <f t="shared" si="6"/>
        <v>Régimen Funcional de Arsenales - ORU1 -  Lucas</v>
      </c>
    </row>
    <row r="256" spans="1:11" ht="15.75" customHeight="1">
      <c r="A256" s="15" t="s">
        <v>72</v>
      </c>
      <c r="B256" s="3" t="s">
        <v>29</v>
      </c>
      <c r="C256" s="15" t="s">
        <v>16</v>
      </c>
      <c r="D256" s="3" t="s">
        <v>80</v>
      </c>
      <c r="E256" s="3" t="s">
        <v>77</v>
      </c>
      <c r="F256" s="5">
        <v>45993</v>
      </c>
      <c r="G256" s="15" t="s">
        <v>75</v>
      </c>
      <c r="H256" s="7">
        <v>0.63194444444444442</v>
      </c>
      <c r="I256" s="3" t="s">
        <v>106</v>
      </c>
      <c r="J256" s="3"/>
      <c r="K256" t="str">
        <f t="shared" si="6"/>
        <v>Régimen Funcional de Arsenales - ORU1 -  Lucas</v>
      </c>
    </row>
    <row r="257" spans="1:11" ht="15.75" customHeight="1">
      <c r="A257" s="15" t="s">
        <v>72</v>
      </c>
      <c r="B257" s="3" t="s">
        <v>27</v>
      </c>
      <c r="C257" s="15" t="s">
        <v>17</v>
      </c>
      <c r="D257" s="3" t="s">
        <v>80</v>
      </c>
      <c r="E257" s="13" t="s">
        <v>73</v>
      </c>
      <c r="F257" s="5">
        <v>45980</v>
      </c>
      <c r="G257" s="15" t="s">
        <v>74</v>
      </c>
      <c r="H257" s="7">
        <v>0.2986111111111111</v>
      </c>
      <c r="I257" s="13" t="s">
        <v>107</v>
      </c>
      <c r="J257" s="3"/>
      <c r="K257" t="str">
        <f t="shared" si="6"/>
        <v xml:space="preserve">Metrología y Representación Gráfica - ING1 -  Jonatan </v>
      </c>
    </row>
    <row r="258" spans="1:11" ht="15.75" customHeight="1">
      <c r="A258" s="15" t="s">
        <v>72</v>
      </c>
      <c r="B258" s="3" t="s">
        <v>27</v>
      </c>
      <c r="C258" s="15" t="s">
        <v>17</v>
      </c>
      <c r="D258" s="3" t="s">
        <v>80</v>
      </c>
      <c r="E258" s="3" t="s">
        <v>77</v>
      </c>
      <c r="F258" s="5">
        <v>45994</v>
      </c>
      <c r="G258" s="15" t="s">
        <v>74</v>
      </c>
      <c r="H258" s="7">
        <v>0.2986111111111111</v>
      </c>
      <c r="I258" s="3" t="s">
        <v>107</v>
      </c>
      <c r="J258" s="3"/>
      <c r="K258" t="str">
        <f t="shared" ref="K258:K267" si="7">B258&amp;" - "&amp;C258&amp;" - "&amp;I258</f>
        <v xml:space="preserve">Metrología y Representación Gráfica - ING1 -  Jonatan </v>
      </c>
    </row>
    <row r="259" spans="1:11" ht="15.75" customHeight="1">
      <c r="A259" s="15" t="s">
        <v>72</v>
      </c>
      <c r="B259" s="3" t="s">
        <v>27</v>
      </c>
      <c r="C259" s="15" t="s">
        <v>16</v>
      </c>
      <c r="D259" s="3" t="s">
        <v>80</v>
      </c>
      <c r="E259" s="13" t="s">
        <v>73</v>
      </c>
      <c r="F259" s="5">
        <v>45980</v>
      </c>
      <c r="G259" s="15" t="s">
        <v>74</v>
      </c>
      <c r="H259" s="7">
        <v>0.2986111111111111</v>
      </c>
      <c r="I259" s="13" t="s">
        <v>107</v>
      </c>
      <c r="J259" s="3"/>
      <c r="K259" t="str">
        <f t="shared" si="7"/>
        <v xml:space="preserve">Metrología y Representación Gráfica - ORU1 -  Jonatan </v>
      </c>
    </row>
    <row r="260" spans="1:11" ht="15.75" customHeight="1">
      <c r="A260" s="15" t="s">
        <v>72</v>
      </c>
      <c r="B260" s="3" t="s">
        <v>27</v>
      </c>
      <c r="C260" s="15" t="s">
        <v>16</v>
      </c>
      <c r="D260" s="3" t="s">
        <v>80</v>
      </c>
      <c r="E260" s="3" t="s">
        <v>77</v>
      </c>
      <c r="F260" s="5">
        <v>45994</v>
      </c>
      <c r="G260" s="15" t="s">
        <v>74</v>
      </c>
      <c r="H260" s="7">
        <v>0.2986111111111111</v>
      </c>
      <c r="I260" s="3" t="s">
        <v>107</v>
      </c>
      <c r="J260" s="3"/>
      <c r="K260" t="str">
        <f t="shared" si="7"/>
        <v xml:space="preserve">Metrología y Representación Gráfica - ORU1 -  Jonatan </v>
      </c>
    </row>
    <row r="261" spans="1:11" ht="15.75" customHeight="1">
      <c r="A261" s="15" t="s">
        <v>72</v>
      </c>
      <c r="B261" s="3" t="s">
        <v>41</v>
      </c>
      <c r="C261" s="15" t="s">
        <v>18</v>
      </c>
      <c r="D261" s="3" t="s">
        <v>80</v>
      </c>
      <c r="E261" s="13" t="s">
        <v>73</v>
      </c>
      <c r="F261" s="5">
        <v>45980</v>
      </c>
      <c r="G261" s="15" t="s">
        <v>74</v>
      </c>
      <c r="H261" s="7">
        <v>0.39583333333333331</v>
      </c>
      <c r="I261" s="3" t="s">
        <v>107</v>
      </c>
      <c r="J261" s="3"/>
      <c r="K261" t="str">
        <f t="shared" si="7"/>
        <v xml:space="preserve">Tecnologías de los Sistemas Eléctricos de Vehículos a Rueda I - RUE1 -  Jonatan </v>
      </c>
    </row>
    <row r="262" spans="1:11" ht="15.75" customHeight="1">
      <c r="A262" s="15" t="s">
        <v>72</v>
      </c>
      <c r="B262" s="3" t="s">
        <v>41</v>
      </c>
      <c r="C262" s="15" t="s">
        <v>18</v>
      </c>
      <c r="D262" s="3" t="s">
        <v>80</v>
      </c>
      <c r="E262" s="3" t="s">
        <v>77</v>
      </c>
      <c r="F262" s="5">
        <v>46001</v>
      </c>
      <c r="G262" s="15" t="s">
        <v>74</v>
      </c>
      <c r="H262" s="7">
        <v>0.39583333333333331</v>
      </c>
      <c r="I262" s="3" t="s">
        <v>107</v>
      </c>
      <c r="J262" s="3"/>
      <c r="K262" t="str">
        <f t="shared" si="7"/>
        <v xml:space="preserve">Tecnologías de los Sistemas Eléctricos de Vehículos a Rueda I - RUE1 -  Jonatan </v>
      </c>
    </row>
    <row r="263" spans="1:11" ht="15.75" customHeight="1">
      <c r="A263" s="15" t="s">
        <v>72</v>
      </c>
      <c r="B263" s="3" t="s">
        <v>2</v>
      </c>
      <c r="C263" s="15" t="s">
        <v>20</v>
      </c>
      <c r="D263" s="3" t="s">
        <v>80</v>
      </c>
      <c r="E263" s="13" t="s">
        <v>73</v>
      </c>
      <c r="F263" s="5">
        <v>45985</v>
      </c>
      <c r="G263" s="15" t="s">
        <v>74</v>
      </c>
      <c r="H263" s="7">
        <v>0.39583333333333331</v>
      </c>
      <c r="I263" s="3" t="s">
        <v>108</v>
      </c>
      <c r="J263" s="3"/>
      <c r="K263" t="str">
        <f t="shared" si="7"/>
        <v>Inglés I - CM2 -  Aracelli</v>
      </c>
    </row>
    <row r="264" spans="1:11" ht="15.75" customHeight="1">
      <c r="A264" s="15" t="s">
        <v>72</v>
      </c>
      <c r="B264" s="3" t="s">
        <v>2</v>
      </c>
      <c r="C264" s="15" t="s">
        <v>20</v>
      </c>
      <c r="D264" s="3" t="s">
        <v>80</v>
      </c>
      <c r="E264" s="3" t="s">
        <v>77</v>
      </c>
      <c r="F264" s="5">
        <v>45991</v>
      </c>
      <c r="G264" s="15" t="s">
        <v>74</v>
      </c>
      <c r="H264" s="7">
        <v>0.2986111111111111</v>
      </c>
      <c r="I264" s="3" t="s">
        <v>108</v>
      </c>
      <c r="J264" s="3"/>
      <c r="K264" t="str">
        <f t="shared" si="7"/>
        <v>Inglés I - CM2 -  Aracelli</v>
      </c>
    </row>
    <row r="265" spans="1:11" ht="15.75" customHeight="1">
      <c r="A265" s="15" t="s">
        <v>78</v>
      </c>
      <c r="B265" s="3" t="s">
        <v>4</v>
      </c>
      <c r="C265" s="15" t="s">
        <v>24</v>
      </c>
      <c r="D265" s="3" t="s">
        <v>80</v>
      </c>
      <c r="E265" s="3" t="s">
        <v>73</v>
      </c>
      <c r="F265" s="5">
        <v>45985</v>
      </c>
      <c r="G265" s="15" t="s">
        <v>74</v>
      </c>
      <c r="H265" s="7">
        <v>0.39583333333333331</v>
      </c>
      <c r="I265" s="3" t="s">
        <v>108</v>
      </c>
      <c r="J265" s="3"/>
      <c r="K265" t="str">
        <f t="shared" si="7"/>
        <v>Inglés II - RUE2 -  Aracelli</v>
      </c>
    </row>
    <row r="266" spans="1:11" ht="15.75" customHeight="1">
      <c r="A266" s="15" t="s">
        <v>78</v>
      </c>
      <c r="B266" s="3" t="s">
        <v>4</v>
      </c>
      <c r="C266" s="15" t="s">
        <v>24</v>
      </c>
      <c r="D266" s="3" t="s">
        <v>80</v>
      </c>
      <c r="E266" s="3" t="s">
        <v>77</v>
      </c>
      <c r="F266" s="5">
        <v>45991</v>
      </c>
      <c r="G266" s="15" t="s">
        <v>74</v>
      </c>
      <c r="H266" s="7">
        <v>0.39583333333333331</v>
      </c>
      <c r="I266" s="3" t="s">
        <v>108</v>
      </c>
      <c r="J266" s="3"/>
      <c r="K266" t="str">
        <f t="shared" si="7"/>
        <v>Inglés II - RUE2 -  Aracelli</v>
      </c>
    </row>
    <row r="267" spans="1:11" ht="15.75" customHeight="1">
      <c r="A267" s="15" t="s">
        <v>78</v>
      </c>
      <c r="B267" s="3" t="s">
        <v>4</v>
      </c>
      <c r="C267" s="15" t="s">
        <v>24</v>
      </c>
      <c r="D267" s="3" t="s">
        <v>80</v>
      </c>
      <c r="E267" s="3" t="s">
        <v>79</v>
      </c>
      <c r="F267" s="5">
        <v>46001</v>
      </c>
      <c r="G267" s="15" t="s">
        <v>75</v>
      </c>
      <c r="H267" s="7">
        <v>0.63194444444444442</v>
      </c>
      <c r="I267" s="3" t="s">
        <v>108</v>
      </c>
      <c r="J267" s="3"/>
      <c r="K267" t="str">
        <f t="shared" si="7"/>
        <v>Inglés II - RUE2 -  Aracelli</v>
      </c>
    </row>
  </sheetData>
  <phoneticPr fontId="3" type="noConversion"/>
  <dataValidations count="7">
    <dataValidation type="list" allowBlank="1" sqref="C2:C267" xr:uid="{00000000-0002-0000-0100-000000000000}">
      <formula1>INDIRECT("Aulas_"&amp;LEFT(A2,1))</formula1>
    </dataValidation>
    <dataValidation type="list" allowBlank="1" sqref="A2:A267" xr:uid="{00000000-0002-0000-0100-000001000000}">
      <formula1>"1.º,2.º"</formula1>
    </dataValidation>
    <dataValidation type="list" allowBlank="1" sqref="E2:E267" xr:uid="{00000000-0002-0000-0100-000002000000}">
      <formula1>"1er Llamado,2do Llamado,3er Llamado"</formula1>
    </dataValidation>
    <dataValidation type="list" allowBlank="1" sqref="G2:G267" xr:uid="{00000000-0002-0000-0100-000003000000}">
      <formula1>"TM,TT"</formula1>
    </dataValidation>
    <dataValidation type="list" allowBlank="1" sqref="H2:H267" xr:uid="{00000000-0002-0000-0100-000004000000}">
      <formula1>INDIRECT("Hora_"&amp;G2)</formula1>
    </dataValidation>
    <dataValidation type="list" allowBlank="1" sqref="B2:B267" xr:uid="{00000000-0002-0000-0100-000005000000}">
      <formula1>INDIRECT("Materias_"&amp;LEFT(A2,1))</formula1>
    </dataValidation>
    <dataValidation type="list" allowBlank="1" showErrorMessage="1" sqref="F2:F267" xr:uid="{00000000-0002-0000-0100-000006000000}">
      <formula1>INDIRECT("Llamado_4")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R46"/>
  <sheetViews>
    <sheetView tabSelected="1" zoomScale="90" zoomScaleNormal="85" workbookViewId="0">
      <selection activeCell="R11" sqref="R11"/>
    </sheetView>
  </sheetViews>
  <sheetFormatPr baseColWidth="10" defaultRowHeight="13.2"/>
  <cols>
    <col min="1" max="1" width="84.88671875" bestFit="1" customWidth="1"/>
    <col min="2" max="2" width="22.44140625" bestFit="1" customWidth="1"/>
    <col min="3" max="3" width="5.21875" bestFit="1" customWidth="1"/>
    <col min="4" max="4" width="6.88671875" bestFit="1" customWidth="1"/>
    <col min="5" max="5" width="5.88671875" bestFit="1" customWidth="1"/>
    <col min="6" max="8" width="4.88671875" bestFit="1" customWidth="1"/>
    <col min="9" max="9" width="5.21875" bestFit="1" customWidth="1"/>
    <col min="10" max="10" width="6.88671875" bestFit="1" customWidth="1"/>
    <col min="11" max="11" width="6.109375" bestFit="1" customWidth="1"/>
    <col min="12" max="12" width="5.88671875" bestFit="1" customWidth="1"/>
    <col min="13" max="14" width="4.88671875" bestFit="1" customWidth="1"/>
    <col min="15" max="15" width="12.5546875" bestFit="1" customWidth="1"/>
    <col min="16" max="16" width="13.33203125" bestFit="1" customWidth="1"/>
    <col min="17" max="17" width="50.109375" customWidth="1"/>
    <col min="18" max="18" width="53" customWidth="1"/>
    <col min="19" max="19" width="12.5546875" customWidth="1"/>
    <col min="20" max="20" width="80.109375" bestFit="1" customWidth="1"/>
    <col min="21" max="21" width="52.5546875" bestFit="1" customWidth="1"/>
    <col min="22" max="22" width="54.44140625" bestFit="1" customWidth="1"/>
    <col min="23" max="23" width="55.109375" bestFit="1" customWidth="1"/>
    <col min="24" max="24" width="78.44140625" bestFit="1" customWidth="1"/>
    <col min="25" max="25" width="98.33203125" bestFit="1" customWidth="1"/>
    <col min="26" max="26" width="63.33203125" bestFit="1" customWidth="1"/>
    <col min="27" max="27" width="65.109375" bestFit="1" customWidth="1"/>
    <col min="28" max="28" width="50.5546875" bestFit="1" customWidth="1"/>
    <col min="29" max="29" width="25.5546875" bestFit="1" customWidth="1"/>
    <col min="30" max="30" width="27.5546875" bestFit="1" customWidth="1"/>
    <col min="31" max="31" width="27" bestFit="1" customWidth="1"/>
    <col min="32" max="32" width="48.6640625" bestFit="1" customWidth="1"/>
    <col min="33" max="33" width="51.33203125" bestFit="1" customWidth="1"/>
    <col min="34" max="34" width="60.33203125" bestFit="1" customWidth="1"/>
    <col min="35" max="35" width="66.5546875" bestFit="1" customWidth="1"/>
    <col min="36" max="36" width="54.109375" bestFit="1" customWidth="1"/>
    <col min="37" max="37" width="33.44140625" bestFit="1" customWidth="1"/>
    <col min="38" max="38" width="35.33203125" bestFit="1" customWidth="1"/>
    <col min="39" max="39" width="49.5546875" bestFit="1" customWidth="1"/>
    <col min="40" max="40" width="50" bestFit="1" customWidth="1"/>
    <col min="41" max="41" width="39.44140625" bestFit="1" customWidth="1"/>
    <col min="42" max="42" width="40" bestFit="1" customWidth="1"/>
    <col min="44" max="44" width="13.33203125" bestFit="1" customWidth="1"/>
  </cols>
  <sheetData>
    <row r="3" spans="1:18" ht="13.2" customHeight="1">
      <c r="A3" s="10" t="s">
        <v>15</v>
      </c>
      <c r="B3" s="10" t="s">
        <v>14</v>
      </c>
      <c r="Q3" s="21" t="s">
        <v>110</v>
      </c>
      <c r="R3" s="21" t="s">
        <v>112</v>
      </c>
    </row>
    <row r="4" spans="1:18">
      <c r="A4" s="10" t="s">
        <v>12</v>
      </c>
      <c r="B4" t="s">
        <v>16</v>
      </c>
      <c r="C4" t="s">
        <v>17</v>
      </c>
      <c r="D4" t="s">
        <v>71</v>
      </c>
      <c r="E4" t="s">
        <v>18</v>
      </c>
      <c r="F4" t="s">
        <v>19</v>
      </c>
      <c r="G4" t="s">
        <v>20</v>
      </c>
      <c r="H4" t="s">
        <v>21</v>
      </c>
      <c r="I4" t="s">
        <v>23</v>
      </c>
      <c r="J4" t="s">
        <v>70</v>
      </c>
      <c r="K4" t="s">
        <v>22</v>
      </c>
      <c r="L4" t="s">
        <v>24</v>
      </c>
      <c r="M4" t="s">
        <v>25</v>
      </c>
      <c r="N4" t="s">
        <v>26</v>
      </c>
      <c r="O4" t="s">
        <v>13</v>
      </c>
      <c r="Q4" s="21"/>
      <c r="R4" s="21"/>
    </row>
    <row r="5" spans="1:18" ht="13.2" customHeight="1">
      <c r="A5" s="11" t="s">
        <v>2</v>
      </c>
      <c r="B5" s="22">
        <v>2</v>
      </c>
      <c r="C5" s="22">
        <v>2</v>
      </c>
      <c r="D5" s="22">
        <v>2</v>
      </c>
      <c r="E5" s="22">
        <v>2</v>
      </c>
      <c r="F5" s="22">
        <v>2</v>
      </c>
      <c r="G5" s="22">
        <v>2</v>
      </c>
      <c r="H5" s="22">
        <v>2</v>
      </c>
      <c r="I5" s="22"/>
      <c r="J5" s="22"/>
      <c r="K5" s="22"/>
      <c r="L5" s="22"/>
      <c r="M5" s="22"/>
      <c r="N5" s="22"/>
      <c r="O5" s="22">
        <v>14</v>
      </c>
      <c r="Q5" s="21" t="s">
        <v>111</v>
      </c>
      <c r="R5" s="21" t="s">
        <v>113</v>
      </c>
    </row>
    <row r="6" spans="1:18">
      <c r="A6" s="11" t="s">
        <v>4</v>
      </c>
      <c r="B6" s="22"/>
      <c r="C6" s="22"/>
      <c r="D6" s="22"/>
      <c r="E6" s="22"/>
      <c r="F6" s="22"/>
      <c r="G6" s="22"/>
      <c r="H6" s="22"/>
      <c r="I6" s="22">
        <v>3</v>
      </c>
      <c r="J6" s="22">
        <v>3</v>
      </c>
      <c r="K6" s="22">
        <v>3</v>
      </c>
      <c r="L6" s="22">
        <v>3</v>
      </c>
      <c r="M6" s="22">
        <v>3</v>
      </c>
      <c r="N6" s="22">
        <v>3</v>
      </c>
      <c r="O6" s="22">
        <v>18</v>
      </c>
      <c r="Q6" s="21"/>
      <c r="R6" s="21"/>
    </row>
    <row r="7" spans="1:18" ht="13.2" customHeight="1">
      <c r="A7" s="11" t="s">
        <v>27</v>
      </c>
      <c r="B7" s="22">
        <v>2</v>
      </c>
      <c r="C7" s="22">
        <v>2</v>
      </c>
      <c r="D7" s="22">
        <v>2</v>
      </c>
      <c r="E7" s="22">
        <v>2</v>
      </c>
      <c r="F7" s="22">
        <v>2</v>
      </c>
      <c r="G7" s="22">
        <v>2</v>
      </c>
      <c r="H7" s="22">
        <v>2</v>
      </c>
      <c r="I7" s="22"/>
      <c r="J7" s="22"/>
      <c r="K7" s="22"/>
      <c r="L7" s="22"/>
      <c r="M7" s="22"/>
      <c r="N7" s="22"/>
      <c r="O7" s="22">
        <v>14</v>
      </c>
      <c r="Q7" s="21" t="s">
        <v>114</v>
      </c>
      <c r="R7" s="21" t="s">
        <v>115</v>
      </c>
    </row>
    <row r="8" spans="1:18">
      <c r="A8" s="11" t="s">
        <v>33</v>
      </c>
      <c r="B8" s="22">
        <v>2</v>
      </c>
      <c r="C8" s="22">
        <v>2</v>
      </c>
      <c r="D8" s="22">
        <v>2</v>
      </c>
      <c r="E8" s="22">
        <v>2</v>
      </c>
      <c r="F8" s="22">
        <v>2</v>
      </c>
      <c r="G8" s="22">
        <v>2</v>
      </c>
      <c r="H8" s="22">
        <v>2</v>
      </c>
      <c r="I8" s="22"/>
      <c r="J8" s="22"/>
      <c r="K8" s="22"/>
      <c r="L8" s="22"/>
      <c r="M8" s="22"/>
      <c r="N8" s="22"/>
      <c r="O8" s="22">
        <v>14</v>
      </c>
      <c r="Q8" s="21"/>
      <c r="R8" s="21"/>
    </row>
    <row r="9" spans="1:18" ht="13.2" customHeight="1">
      <c r="A9" s="11" t="s">
        <v>29</v>
      </c>
      <c r="B9" s="22">
        <v>2</v>
      </c>
      <c r="C9" s="22">
        <v>2</v>
      </c>
      <c r="D9" s="22">
        <v>2</v>
      </c>
      <c r="E9" s="22">
        <v>2</v>
      </c>
      <c r="F9" s="22">
        <v>2</v>
      </c>
      <c r="G9" s="22">
        <v>2</v>
      </c>
      <c r="H9" s="22">
        <v>2</v>
      </c>
      <c r="I9" s="22"/>
      <c r="J9" s="22"/>
      <c r="K9" s="22"/>
      <c r="L9" s="22"/>
      <c r="M9" s="22"/>
      <c r="N9" s="22"/>
      <c r="O9" s="22">
        <v>14</v>
      </c>
      <c r="Q9" s="21" t="s">
        <v>116</v>
      </c>
      <c r="R9" s="21" t="s">
        <v>117</v>
      </c>
    </row>
    <row r="10" spans="1:18">
      <c r="A10" s="11" t="s">
        <v>34</v>
      </c>
      <c r="B10" s="22"/>
      <c r="C10" s="22"/>
      <c r="D10" s="22"/>
      <c r="E10" s="22"/>
      <c r="F10" s="22"/>
      <c r="G10" s="22"/>
      <c r="H10" s="22"/>
      <c r="I10" s="22">
        <v>3</v>
      </c>
      <c r="J10" s="22">
        <v>3</v>
      </c>
      <c r="K10" s="22">
        <v>3</v>
      </c>
      <c r="L10" s="22">
        <v>3</v>
      </c>
      <c r="M10" s="22">
        <v>3</v>
      </c>
      <c r="N10" s="22">
        <v>3</v>
      </c>
      <c r="O10" s="22">
        <v>18</v>
      </c>
      <c r="Q10" s="21"/>
      <c r="R10" s="21"/>
    </row>
    <row r="11" spans="1:18">
      <c r="A11" s="11" t="s">
        <v>28</v>
      </c>
      <c r="B11" s="22">
        <v>2</v>
      </c>
      <c r="C11" s="22">
        <v>2</v>
      </c>
      <c r="D11" s="22">
        <v>2</v>
      </c>
      <c r="E11" s="22">
        <v>2</v>
      </c>
      <c r="F11" s="22">
        <v>2</v>
      </c>
      <c r="G11" s="22">
        <v>2</v>
      </c>
      <c r="H11" s="22">
        <v>2</v>
      </c>
      <c r="I11" s="22"/>
      <c r="J11" s="22"/>
      <c r="K11" s="22"/>
      <c r="L11" s="22"/>
      <c r="M11" s="22"/>
      <c r="N11" s="22"/>
      <c r="O11" s="22">
        <v>14</v>
      </c>
    </row>
    <row r="12" spans="1:18">
      <c r="A12" s="11" t="s">
        <v>63</v>
      </c>
      <c r="B12" s="22"/>
      <c r="C12" s="22"/>
      <c r="D12" s="22"/>
      <c r="E12" s="22"/>
      <c r="F12" s="22"/>
      <c r="G12" s="22"/>
      <c r="H12" s="22"/>
      <c r="I12" s="22"/>
      <c r="J12" s="22">
        <v>3</v>
      </c>
      <c r="K12" s="22"/>
      <c r="L12" s="22"/>
      <c r="M12" s="22"/>
      <c r="N12" s="22"/>
      <c r="O12" s="22">
        <v>3</v>
      </c>
    </row>
    <row r="13" spans="1:18">
      <c r="A13" s="11" t="s">
        <v>49</v>
      </c>
      <c r="B13" s="22"/>
      <c r="C13" s="22"/>
      <c r="D13" s="22"/>
      <c r="E13" s="22"/>
      <c r="F13" s="22"/>
      <c r="G13" s="22"/>
      <c r="H13" s="22"/>
      <c r="I13" s="22">
        <v>3</v>
      </c>
      <c r="J13" s="22"/>
      <c r="K13" s="22"/>
      <c r="L13" s="22"/>
      <c r="M13" s="22"/>
      <c r="N13" s="22"/>
      <c r="O13" s="22">
        <v>3</v>
      </c>
    </row>
    <row r="14" spans="1:18">
      <c r="A14" s="11" t="s">
        <v>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>
        <v>3</v>
      </c>
      <c r="N14" s="22">
        <v>3</v>
      </c>
      <c r="O14" s="22">
        <v>6</v>
      </c>
    </row>
    <row r="15" spans="1:18">
      <c r="A15" s="11" t="s">
        <v>64</v>
      </c>
      <c r="B15" s="22"/>
      <c r="C15" s="22"/>
      <c r="D15" s="22"/>
      <c r="E15" s="22"/>
      <c r="F15" s="22"/>
      <c r="G15" s="22"/>
      <c r="H15" s="22"/>
      <c r="I15" s="22">
        <v>3</v>
      </c>
      <c r="J15" s="22"/>
      <c r="K15" s="22"/>
      <c r="L15" s="22"/>
      <c r="M15" s="22"/>
      <c r="N15" s="22"/>
      <c r="O15" s="22">
        <v>3</v>
      </c>
    </row>
    <row r="16" spans="1:18">
      <c r="A16" s="11" t="s">
        <v>61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>
        <v>3</v>
      </c>
      <c r="M16" s="22"/>
      <c r="N16" s="22"/>
      <c r="O16" s="22">
        <v>3</v>
      </c>
    </row>
    <row r="17" spans="1:15">
      <c r="A17" s="11" t="s">
        <v>62</v>
      </c>
      <c r="B17" s="22"/>
      <c r="C17" s="22"/>
      <c r="D17" s="22"/>
      <c r="E17" s="22"/>
      <c r="F17" s="22"/>
      <c r="G17" s="22"/>
      <c r="H17" s="22"/>
      <c r="I17" s="22"/>
      <c r="J17" s="22"/>
      <c r="K17" s="22">
        <v>3</v>
      </c>
      <c r="L17" s="22"/>
      <c r="M17" s="22"/>
      <c r="N17" s="22"/>
      <c r="O17" s="22">
        <v>3</v>
      </c>
    </row>
    <row r="18" spans="1:15">
      <c r="A18" s="11" t="s">
        <v>48</v>
      </c>
      <c r="B18" s="22"/>
      <c r="C18" s="22"/>
      <c r="D18" s="22"/>
      <c r="E18" s="22"/>
      <c r="F18" s="22"/>
      <c r="G18" s="22"/>
      <c r="H18" s="22"/>
      <c r="I18" s="22"/>
      <c r="J18" s="22">
        <v>3</v>
      </c>
      <c r="K18" s="22"/>
      <c r="L18" s="22"/>
      <c r="M18" s="22"/>
      <c r="N18" s="22"/>
      <c r="O18" s="22">
        <v>3</v>
      </c>
    </row>
    <row r="19" spans="1:15">
      <c r="A19" s="11" t="s">
        <v>30</v>
      </c>
      <c r="B19" s="22">
        <v>2</v>
      </c>
      <c r="C19" s="22">
        <v>2</v>
      </c>
      <c r="D19" s="22">
        <v>2</v>
      </c>
      <c r="E19" s="22">
        <v>2</v>
      </c>
      <c r="F19" s="22">
        <v>2</v>
      </c>
      <c r="G19" s="22">
        <v>2</v>
      </c>
      <c r="H19" s="22">
        <v>2</v>
      </c>
      <c r="I19" s="22"/>
      <c r="J19" s="22"/>
      <c r="K19" s="22"/>
      <c r="L19" s="22"/>
      <c r="M19" s="22"/>
      <c r="N19" s="22"/>
      <c r="O19" s="22">
        <v>14</v>
      </c>
    </row>
    <row r="20" spans="1:15">
      <c r="A20" s="11" t="s">
        <v>46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>
        <v>3</v>
      </c>
      <c r="M20" s="22"/>
      <c r="N20" s="22"/>
      <c r="O20" s="22">
        <v>3</v>
      </c>
    </row>
    <row r="21" spans="1:15">
      <c r="A21" s="11" t="s">
        <v>47</v>
      </c>
      <c r="B21" s="22"/>
      <c r="C21" s="22"/>
      <c r="D21" s="22"/>
      <c r="E21" s="22"/>
      <c r="F21" s="22"/>
      <c r="G21" s="22"/>
      <c r="H21" s="22"/>
      <c r="I21" s="22"/>
      <c r="J21" s="22"/>
      <c r="K21" s="22">
        <v>3</v>
      </c>
      <c r="L21" s="22"/>
      <c r="M21" s="22"/>
      <c r="N21" s="22"/>
      <c r="O21" s="22">
        <v>3</v>
      </c>
    </row>
    <row r="22" spans="1:15">
      <c r="A22" s="11" t="s">
        <v>39</v>
      </c>
      <c r="B22" s="22"/>
      <c r="C22" s="22">
        <v>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>
        <v>2</v>
      </c>
    </row>
    <row r="23" spans="1:15">
      <c r="A23" s="11" t="s">
        <v>38</v>
      </c>
      <c r="B23" s="22"/>
      <c r="C23" s="22"/>
      <c r="D23" s="22">
        <v>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>
        <v>2</v>
      </c>
    </row>
    <row r="24" spans="1:15">
      <c r="A24" s="11" t="s">
        <v>36</v>
      </c>
      <c r="B24" s="22"/>
      <c r="C24" s="22"/>
      <c r="D24" s="22"/>
      <c r="E24" s="22">
        <v>2</v>
      </c>
      <c r="F24" s="22"/>
      <c r="G24" s="22"/>
      <c r="H24" s="22"/>
      <c r="I24" s="22"/>
      <c r="J24" s="22"/>
      <c r="K24" s="22"/>
      <c r="L24" s="22"/>
      <c r="M24" s="22"/>
      <c r="N24" s="22"/>
      <c r="O24" s="22">
        <v>2</v>
      </c>
    </row>
    <row r="25" spans="1:15">
      <c r="A25" s="11" t="s">
        <v>37</v>
      </c>
      <c r="B25" s="22">
        <v>2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>
        <v>2</v>
      </c>
    </row>
    <row r="26" spans="1:15">
      <c r="A26" s="11" t="s">
        <v>40</v>
      </c>
      <c r="B26" s="22"/>
      <c r="C26" s="22"/>
      <c r="D26" s="22"/>
      <c r="E26" s="22"/>
      <c r="F26" s="22">
        <v>2</v>
      </c>
      <c r="G26" s="22">
        <v>2</v>
      </c>
      <c r="H26" s="22">
        <v>2</v>
      </c>
      <c r="I26" s="22"/>
      <c r="J26" s="22"/>
      <c r="K26" s="22"/>
      <c r="L26" s="22"/>
      <c r="M26" s="22"/>
      <c r="N26" s="22"/>
      <c r="O26" s="22">
        <v>6</v>
      </c>
    </row>
    <row r="27" spans="1:15">
      <c r="A27" s="11" t="s">
        <v>59</v>
      </c>
      <c r="B27" s="22"/>
      <c r="C27" s="22"/>
      <c r="D27" s="22"/>
      <c r="E27" s="22"/>
      <c r="F27" s="22"/>
      <c r="G27" s="22"/>
      <c r="H27" s="22"/>
      <c r="I27" s="22">
        <v>3</v>
      </c>
      <c r="J27" s="22"/>
      <c r="K27" s="22"/>
      <c r="L27" s="22"/>
      <c r="M27" s="22"/>
      <c r="N27" s="22"/>
      <c r="O27" s="22">
        <v>3</v>
      </c>
    </row>
    <row r="28" spans="1:15">
      <c r="A28" s="11" t="s">
        <v>58</v>
      </c>
      <c r="B28" s="22"/>
      <c r="C28" s="22"/>
      <c r="D28" s="22"/>
      <c r="E28" s="22"/>
      <c r="F28" s="22"/>
      <c r="G28" s="22"/>
      <c r="H28" s="22"/>
      <c r="I28" s="22"/>
      <c r="J28" s="22">
        <v>3</v>
      </c>
      <c r="K28" s="22"/>
      <c r="L28" s="22"/>
      <c r="M28" s="22"/>
      <c r="N28" s="22"/>
      <c r="O28" s="22">
        <v>3</v>
      </c>
    </row>
    <row r="29" spans="1:15">
      <c r="A29" s="11" t="s">
        <v>56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>
        <v>3</v>
      </c>
      <c r="M29" s="22"/>
      <c r="N29" s="22"/>
      <c r="O29" s="22">
        <v>3</v>
      </c>
    </row>
    <row r="30" spans="1:15">
      <c r="A30" s="11" t="s">
        <v>57</v>
      </c>
      <c r="B30" s="22"/>
      <c r="C30" s="22"/>
      <c r="D30" s="22"/>
      <c r="E30" s="22"/>
      <c r="F30" s="22"/>
      <c r="G30" s="22"/>
      <c r="H30" s="22"/>
      <c r="I30" s="22"/>
      <c r="J30" s="22"/>
      <c r="K30" s="22">
        <v>3</v>
      </c>
      <c r="L30" s="22"/>
      <c r="M30" s="22"/>
      <c r="N30" s="22"/>
      <c r="O30" s="22">
        <v>3</v>
      </c>
    </row>
    <row r="31" spans="1:15">
      <c r="A31" s="11" t="s">
        <v>60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>
        <v>3</v>
      </c>
      <c r="N31" s="22">
        <v>3</v>
      </c>
      <c r="O31" s="22">
        <v>6</v>
      </c>
    </row>
    <row r="32" spans="1:15">
      <c r="A32" s="11" t="s">
        <v>32</v>
      </c>
      <c r="B32" s="22">
        <v>2</v>
      </c>
      <c r="C32" s="22">
        <v>2</v>
      </c>
      <c r="D32" s="22">
        <v>2</v>
      </c>
      <c r="E32" s="22">
        <v>2</v>
      </c>
      <c r="F32" s="22">
        <v>2</v>
      </c>
      <c r="G32" s="22">
        <v>2</v>
      </c>
      <c r="H32" s="22">
        <v>2</v>
      </c>
      <c r="I32" s="22"/>
      <c r="J32" s="22"/>
      <c r="K32" s="22"/>
      <c r="L32" s="22"/>
      <c r="M32" s="22"/>
      <c r="N32" s="22"/>
      <c r="O32" s="22">
        <v>14</v>
      </c>
    </row>
    <row r="33" spans="1:15">
      <c r="A33" s="11" t="s">
        <v>44</v>
      </c>
      <c r="B33" s="22"/>
      <c r="C33" s="22">
        <v>2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>
        <v>2</v>
      </c>
    </row>
    <row r="34" spans="1:15">
      <c r="A34" s="11" t="s">
        <v>43</v>
      </c>
      <c r="B34" s="22"/>
      <c r="C34" s="22"/>
      <c r="D34" s="22">
        <v>2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>
        <v>2</v>
      </c>
    </row>
    <row r="35" spans="1:15">
      <c r="A35" s="11" t="s">
        <v>54</v>
      </c>
      <c r="B35" s="22"/>
      <c r="C35" s="22"/>
      <c r="D35" s="22"/>
      <c r="E35" s="22"/>
      <c r="F35" s="22"/>
      <c r="G35" s="22"/>
      <c r="H35" s="22"/>
      <c r="I35" s="22">
        <v>3</v>
      </c>
      <c r="J35" s="22"/>
      <c r="K35" s="22"/>
      <c r="L35" s="22"/>
      <c r="M35" s="22"/>
      <c r="N35" s="22"/>
      <c r="O35" s="22">
        <v>3</v>
      </c>
    </row>
    <row r="36" spans="1:15">
      <c r="A36" s="11" t="s">
        <v>42</v>
      </c>
      <c r="B36" s="22">
        <v>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>
        <v>2</v>
      </c>
    </row>
    <row r="37" spans="1:15">
      <c r="A37" s="11" t="s">
        <v>41</v>
      </c>
      <c r="B37" s="22"/>
      <c r="C37" s="22"/>
      <c r="D37" s="22"/>
      <c r="E37" s="22">
        <v>2</v>
      </c>
      <c r="F37" s="22"/>
      <c r="G37" s="22"/>
      <c r="H37" s="22"/>
      <c r="I37" s="22"/>
      <c r="J37" s="22"/>
      <c r="K37" s="22"/>
      <c r="L37" s="22"/>
      <c r="M37" s="22"/>
      <c r="N37" s="22"/>
      <c r="O37" s="22">
        <v>2</v>
      </c>
    </row>
    <row r="38" spans="1:15">
      <c r="A38" s="11" t="s">
        <v>53</v>
      </c>
      <c r="B38" s="22"/>
      <c r="C38" s="22"/>
      <c r="D38" s="22"/>
      <c r="E38" s="22"/>
      <c r="F38" s="22"/>
      <c r="G38" s="22"/>
      <c r="H38" s="22"/>
      <c r="I38" s="22"/>
      <c r="J38" s="22">
        <v>3</v>
      </c>
      <c r="K38" s="22"/>
      <c r="L38" s="22"/>
      <c r="M38" s="22"/>
      <c r="N38" s="22"/>
      <c r="O38" s="22">
        <v>3</v>
      </c>
    </row>
    <row r="39" spans="1:15">
      <c r="A39" s="11" t="s">
        <v>55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>
        <v>3</v>
      </c>
      <c r="N39" s="22">
        <v>3</v>
      </c>
      <c r="O39" s="22">
        <v>6</v>
      </c>
    </row>
    <row r="40" spans="1:15">
      <c r="A40" s="11" t="s">
        <v>51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>
        <v>3</v>
      </c>
      <c r="M40" s="22"/>
      <c r="N40" s="22"/>
      <c r="O40" s="22">
        <v>3</v>
      </c>
    </row>
    <row r="41" spans="1:15">
      <c r="A41" s="11" t="s">
        <v>52</v>
      </c>
      <c r="B41" s="22"/>
      <c r="C41" s="22"/>
      <c r="D41" s="22"/>
      <c r="E41" s="22"/>
      <c r="F41" s="22"/>
      <c r="G41" s="22"/>
      <c r="H41" s="22"/>
      <c r="I41" s="22"/>
      <c r="J41" s="22"/>
      <c r="K41" s="22">
        <v>3</v>
      </c>
      <c r="L41" s="22"/>
      <c r="M41" s="22"/>
      <c r="N41" s="22"/>
      <c r="O41" s="22">
        <v>3</v>
      </c>
    </row>
    <row r="42" spans="1:15">
      <c r="A42" s="11" t="s">
        <v>31</v>
      </c>
      <c r="B42" s="22">
        <v>2</v>
      </c>
      <c r="C42" s="22">
        <v>2</v>
      </c>
      <c r="D42" s="22">
        <v>2</v>
      </c>
      <c r="E42" s="22">
        <v>2</v>
      </c>
      <c r="F42" s="22">
        <v>2</v>
      </c>
      <c r="G42" s="22">
        <v>2</v>
      </c>
      <c r="H42" s="22">
        <v>2</v>
      </c>
      <c r="I42" s="22"/>
      <c r="J42" s="22"/>
      <c r="K42" s="22"/>
      <c r="L42" s="22"/>
      <c r="M42" s="22"/>
      <c r="N42" s="22"/>
      <c r="O42" s="22">
        <v>14</v>
      </c>
    </row>
    <row r="43" spans="1:15">
      <c r="A43" s="11" t="s">
        <v>35</v>
      </c>
      <c r="B43" s="22"/>
      <c r="C43" s="22"/>
      <c r="D43" s="22"/>
      <c r="E43" s="22"/>
      <c r="F43" s="22"/>
      <c r="G43" s="22"/>
      <c r="H43" s="22"/>
      <c r="I43" s="22">
        <v>3</v>
      </c>
      <c r="J43" s="22">
        <v>3</v>
      </c>
      <c r="K43" s="22">
        <v>3</v>
      </c>
      <c r="L43" s="22">
        <v>3</v>
      </c>
      <c r="M43" s="22">
        <v>3</v>
      </c>
      <c r="N43" s="22">
        <v>3</v>
      </c>
      <c r="O43" s="22">
        <v>18</v>
      </c>
    </row>
    <row r="44" spans="1:15">
      <c r="A44" s="11" t="s">
        <v>45</v>
      </c>
      <c r="B44" s="22"/>
      <c r="C44" s="22"/>
      <c r="D44" s="22"/>
      <c r="E44" s="22"/>
      <c r="F44" s="22">
        <v>2</v>
      </c>
      <c r="G44" s="22">
        <v>2</v>
      </c>
      <c r="H44" s="22">
        <v>2</v>
      </c>
      <c r="I44" s="22"/>
      <c r="J44" s="22"/>
      <c r="K44" s="22"/>
      <c r="L44" s="22"/>
      <c r="M44" s="22"/>
      <c r="N44" s="22"/>
      <c r="O44" s="22">
        <v>6</v>
      </c>
    </row>
    <row r="45" spans="1:15">
      <c r="A45" s="11" t="s">
        <v>65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>
        <v>3</v>
      </c>
      <c r="N45" s="22">
        <v>3</v>
      </c>
      <c r="O45" s="22">
        <v>6</v>
      </c>
    </row>
    <row r="46" spans="1:15">
      <c r="A46" s="11" t="s">
        <v>13</v>
      </c>
      <c r="B46" s="22">
        <v>20</v>
      </c>
      <c r="C46" s="22">
        <v>20</v>
      </c>
      <c r="D46" s="22">
        <v>20</v>
      </c>
      <c r="E46" s="22">
        <v>20</v>
      </c>
      <c r="F46" s="22">
        <v>20</v>
      </c>
      <c r="G46" s="22">
        <v>20</v>
      </c>
      <c r="H46" s="22">
        <v>20</v>
      </c>
      <c r="I46" s="22">
        <v>21</v>
      </c>
      <c r="J46" s="22">
        <v>21</v>
      </c>
      <c r="K46" s="22">
        <v>21</v>
      </c>
      <c r="L46" s="22">
        <v>21</v>
      </c>
      <c r="M46" s="22">
        <v>21</v>
      </c>
      <c r="N46" s="22">
        <v>21</v>
      </c>
      <c r="O46" s="22">
        <v>266</v>
      </c>
    </row>
  </sheetData>
  <sheetProtection formatCells="0" formatColumns="0" autoFilter="0" pivotTables="0"/>
  <mergeCells count="8">
    <mergeCell ref="R7:R8"/>
    <mergeCell ref="R9:R10"/>
    <mergeCell ref="Q9:Q10"/>
    <mergeCell ref="Q3:Q4"/>
    <mergeCell ref="Q5:Q6"/>
    <mergeCell ref="R3:R4"/>
    <mergeCell ref="R5:R6"/>
    <mergeCell ref="Q7:Q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LISTAS</vt:lpstr>
      <vt:lpstr>Carga</vt:lpstr>
      <vt:lpstr>Control Cantidad</vt:lpstr>
      <vt:lpstr>Aulas_1</vt:lpstr>
      <vt:lpstr>Aulas_2</vt:lpstr>
      <vt:lpstr>Hora_TM</vt:lpstr>
      <vt:lpstr>Hora_TT</vt:lpstr>
      <vt:lpstr>Llamado_4</vt:lpstr>
      <vt:lpstr>Materias_1</vt:lpstr>
      <vt:lpstr>Materias_2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Brujo Matero</dc:creator>
  <cp:lastModifiedBy>Facundo Andres Oviedo</cp:lastModifiedBy>
  <dcterms:created xsi:type="dcterms:W3CDTF">2026-09-02T11:07:04Z</dcterms:created>
  <dcterms:modified xsi:type="dcterms:W3CDTF">2026-10-28T19:51:10Z</dcterms:modified>
</cp:coreProperties>
</file>